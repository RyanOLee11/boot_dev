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celandfoods1-my.sharepoint.com/personal/rlee_riceland_com/Documents/Desktop/boot_dev/work/"/>
    </mc:Choice>
  </mc:AlternateContent>
  <xr:revisionPtr revIDLastSave="0" documentId="14_{20FC21F0-C8D0-4A35-8423-5D655CAF97D5}" xr6:coauthVersionLast="47" xr6:coauthVersionMax="47" xr10:uidLastSave="{00000000-0000-0000-0000-000000000000}"/>
  <bookViews>
    <workbookView xWindow="28875" yWindow="4470" windowWidth="19200" windowHeight="9975" activeTab="11"/>
  </bookViews>
  <sheets>
    <sheet name="2014" sheetId="8" r:id="rId1"/>
    <sheet name="2015" sheetId="9" r:id="rId2"/>
    <sheet name="2016" sheetId="10" r:id="rId3"/>
    <sheet name="2017" sheetId="11" r:id="rId4"/>
    <sheet name="2018" sheetId="12" r:id="rId5"/>
    <sheet name="2019" sheetId="13" r:id="rId6"/>
    <sheet name="2020" sheetId="14" r:id="rId7"/>
    <sheet name="2021" sheetId="15" r:id="rId8"/>
    <sheet name="2022" sheetId="16" r:id="rId9"/>
    <sheet name="2023" sheetId="17" r:id="rId10"/>
    <sheet name="2024" sheetId="18" r:id="rId11"/>
    <sheet name="2025" sheetId="19" r:id="rId12"/>
    <sheet name="2013" sheetId="7" r:id="rId13"/>
    <sheet name="2012" sheetId="6" r:id="rId14"/>
    <sheet name="2011" sheetId="2" r:id="rId15"/>
    <sheet name="2010" sheetId="1" r:id="rId16"/>
    <sheet name="2009" sheetId="5" r:id="rId17"/>
    <sheet name="2008" sheetId="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N33" i="19" l="1"/>
  <c r="BN16" i="19"/>
  <c r="BM16" i="19"/>
  <c r="BM33" i="19"/>
  <c r="BL33" i="19"/>
  <c r="BK33" i="19"/>
  <c r="BJ33" i="19"/>
  <c r="BI33" i="19"/>
  <c r="BH33" i="19"/>
  <c r="BG33" i="19"/>
  <c r="BF33" i="19"/>
  <c r="BE33" i="19"/>
  <c r="BD33" i="19"/>
  <c r="BC33" i="19"/>
  <c r="BB33" i="19"/>
  <c r="BA33" i="19"/>
  <c r="AZ33" i="19"/>
  <c r="AY33" i="19"/>
  <c r="AY34" i="19"/>
  <c r="AX33" i="19"/>
  <c r="AW33" i="19"/>
  <c r="AV33" i="19"/>
  <c r="AU33" i="19"/>
  <c r="AT33" i="19"/>
  <c r="AT34" i="19"/>
  <c r="AS33" i="19"/>
  <c r="AS34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D33" i="19"/>
  <c r="AC33" i="19"/>
  <c r="AB33" i="19"/>
  <c r="AA33" i="19"/>
  <c r="Z33" i="19"/>
  <c r="Y33" i="19"/>
  <c r="X33" i="19"/>
  <c r="X34" i="19"/>
  <c r="W33" i="19"/>
  <c r="V33" i="19"/>
  <c r="V34" i="19"/>
  <c r="U33" i="19"/>
  <c r="T33" i="19"/>
  <c r="S33" i="19"/>
  <c r="R33" i="19"/>
  <c r="Q33" i="19"/>
  <c r="Q34" i="19"/>
  <c r="P33" i="19"/>
  <c r="O33" i="19"/>
  <c r="N33" i="19"/>
  <c r="M33" i="19"/>
  <c r="L33" i="19"/>
  <c r="L34" i="19"/>
  <c r="K33" i="19"/>
  <c r="J33" i="19"/>
  <c r="I33" i="19"/>
  <c r="H33" i="19"/>
  <c r="H34" i="19"/>
  <c r="G33" i="19"/>
  <c r="F33" i="19"/>
  <c r="E33" i="19"/>
  <c r="C33" i="19"/>
  <c r="B33" i="19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X34" i="19"/>
  <c r="AW16" i="19"/>
  <c r="AV16" i="19"/>
  <c r="AV34" i="19"/>
  <c r="AU16" i="19"/>
  <c r="AU34" i="19"/>
  <c r="AT16" i="19"/>
  <c r="AS16" i="19"/>
  <c r="AR16" i="19"/>
  <c r="AR34" i="19"/>
  <c r="AQ16" i="19"/>
  <c r="AP16" i="19"/>
  <c r="AO16" i="19"/>
  <c r="AN16" i="19"/>
  <c r="AM16" i="19"/>
  <c r="AL16" i="19"/>
  <c r="AL34" i="19"/>
  <c r="AK16" i="19"/>
  <c r="AK34" i="19"/>
  <c r="AJ16" i="19"/>
  <c r="AJ34" i="19"/>
  <c r="AI16" i="19"/>
  <c r="AI34" i="19"/>
  <c r="AH16" i="19"/>
  <c r="AG16" i="19"/>
  <c r="AG34" i="19"/>
  <c r="AF16" i="19"/>
  <c r="AF34" i="19"/>
  <c r="AE16" i="19"/>
  <c r="AE34" i="19"/>
  <c r="AD16" i="19"/>
  <c r="AC16" i="19"/>
  <c r="AC34" i="19"/>
  <c r="AB16" i="19"/>
  <c r="AB34" i="19"/>
  <c r="AA16" i="19"/>
  <c r="Z16" i="19"/>
  <c r="Z34" i="19"/>
  <c r="Y16" i="19"/>
  <c r="X16" i="19"/>
  <c r="W16" i="19"/>
  <c r="V16" i="19"/>
  <c r="U16" i="19"/>
  <c r="T16" i="19"/>
  <c r="T34" i="19"/>
  <c r="S16" i="19"/>
  <c r="R16" i="19"/>
  <c r="Q16" i="19"/>
  <c r="P16" i="19"/>
  <c r="P34" i="19"/>
  <c r="O16" i="19"/>
  <c r="N16" i="19"/>
  <c r="N34" i="19"/>
  <c r="M16" i="19"/>
  <c r="L16" i="19"/>
  <c r="K16" i="19"/>
  <c r="J16" i="19"/>
  <c r="J34" i="19"/>
  <c r="I16" i="19"/>
  <c r="H16" i="19"/>
  <c r="G16" i="19"/>
  <c r="G34" i="19"/>
  <c r="F16" i="19"/>
  <c r="F34" i="19"/>
  <c r="E16" i="19"/>
  <c r="E34" i="19"/>
  <c r="D16" i="19"/>
  <c r="D34" i="19"/>
  <c r="C16" i="19"/>
  <c r="C34" i="19"/>
  <c r="B16" i="19"/>
  <c r="B34" i="19"/>
  <c r="D15" i="19"/>
  <c r="C15" i="19"/>
  <c r="B15" i="19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R34" i="18"/>
  <c r="AQ33" i="18"/>
  <c r="AP33" i="18"/>
  <c r="AO33" i="18"/>
  <c r="AN33" i="18"/>
  <c r="AM33" i="18"/>
  <c r="AL33" i="18"/>
  <c r="AK33" i="18"/>
  <c r="AJ33" i="18"/>
  <c r="AJ34" i="18"/>
  <c r="AI33" i="18"/>
  <c r="AH33" i="18"/>
  <c r="AG33" i="18"/>
  <c r="AF33" i="18"/>
  <c r="AD33" i="18"/>
  <c r="AC33" i="18"/>
  <c r="AB33" i="18"/>
  <c r="AA33" i="18"/>
  <c r="Z33" i="18"/>
  <c r="Y33" i="18"/>
  <c r="X33" i="18"/>
  <c r="W33" i="18"/>
  <c r="V33" i="18"/>
  <c r="U33" i="18"/>
  <c r="U34" i="18"/>
  <c r="T33" i="18"/>
  <c r="S33" i="18"/>
  <c r="R33" i="18"/>
  <c r="Q33" i="18"/>
  <c r="P33" i="18"/>
  <c r="O33" i="18"/>
  <c r="O34" i="18"/>
  <c r="N33" i="18"/>
  <c r="M33" i="18"/>
  <c r="L33" i="18"/>
  <c r="K33" i="18"/>
  <c r="J33" i="18"/>
  <c r="I33" i="18"/>
  <c r="H33" i="18"/>
  <c r="G33" i="18"/>
  <c r="F33" i="18"/>
  <c r="E33" i="18"/>
  <c r="C33" i="18"/>
  <c r="B33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Y16" i="18"/>
  <c r="AY34" i="18"/>
  <c r="AX16" i="18"/>
  <c r="AX34" i="18"/>
  <c r="AW16" i="18"/>
  <c r="AV16" i="18"/>
  <c r="AU16" i="18"/>
  <c r="AU34" i="18"/>
  <c r="AT16" i="18"/>
  <c r="AT34" i="18"/>
  <c r="AS16" i="18"/>
  <c r="AS34" i="18"/>
  <c r="AR16" i="18"/>
  <c r="AQ16" i="18"/>
  <c r="AP16" i="18"/>
  <c r="AO16" i="18"/>
  <c r="AO34" i="18"/>
  <c r="AN16" i="18"/>
  <c r="AM16" i="18"/>
  <c r="AM34" i="18"/>
  <c r="AL16" i="18"/>
  <c r="AK16" i="18"/>
  <c r="AK34" i="18"/>
  <c r="AJ16" i="18"/>
  <c r="AI16" i="18"/>
  <c r="AI34" i="18"/>
  <c r="AH16" i="18"/>
  <c r="AH34" i="18"/>
  <c r="AG16" i="18"/>
  <c r="AF16" i="18"/>
  <c r="AE16" i="18"/>
  <c r="AE34" i="18"/>
  <c r="AD16" i="18"/>
  <c r="AD34" i="18"/>
  <c r="AC16" i="18"/>
  <c r="AC34" i="18"/>
  <c r="AB16" i="18"/>
  <c r="AA16" i="18"/>
  <c r="Z16" i="18"/>
  <c r="Z34" i="18"/>
  <c r="Y16" i="18"/>
  <c r="X16" i="18"/>
  <c r="X34" i="18"/>
  <c r="W16" i="18"/>
  <c r="W34" i="18"/>
  <c r="V16" i="18"/>
  <c r="U16" i="18"/>
  <c r="T16" i="18"/>
  <c r="T34" i="18"/>
  <c r="S16" i="18"/>
  <c r="R16" i="18"/>
  <c r="Q16" i="18"/>
  <c r="Q34" i="18"/>
  <c r="P16" i="18"/>
  <c r="O16" i="18"/>
  <c r="N16" i="18"/>
  <c r="N34" i="18"/>
  <c r="M16" i="18"/>
  <c r="L16" i="18"/>
  <c r="K16" i="18"/>
  <c r="J16" i="18"/>
  <c r="J34" i="18"/>
  <c r="I16" i="18"/>
  <c r="H16" i="18"/>
  <c r="H34" i="18"/>
  <c r="G16" i="18"/>
  <c r="G34" i="18"/>
  <c r="F16" i="18"/>
  <c r="F34" i="18"/>
  <c r="E16" i="18"/>
  <c r="D16" i="18"/>
  <c r="D34" i="18"/>
  <c r="C16" i="18"/>
  <c r="C34" i="18"/>
  <c r="B16" i="18"/>
  <c r="B34" i="18"/>
  <c r="D15" i="18"/>
  <c r="C15" i="18"/>
  <c r="B15" i="18"/>
  <c r="C16" i="17"/>
  <c r="D16" i="17"/>
  <c r="E16" i="17"/>
  <c r="F16" i="17"/>
  <c r="G16" i="17"/>
  <c r="G34" i="17"/>
  <c r="H16" i="17"/>
  <c r="I16" i="17"/>
  <c r="J16" i="17"/>
  <c r="J34" i="17"/>
  <c r="K16" i="17"/>
  <c r="L16" i="17"/>
  <c r="M16" i="17"/>
  <c r="N16" i="17"/>
  <c r="O16" i="17"/>
  <c r="P16" i="17"/>
  <c r="P34" i="17"/>
  <c r="Q16" i="17"/>
  <c r="R16" i="17"/>
  <c r="S16" i="17"/>
  <c r="S34" i="17"/>
  <c r="T16" i="17"/>
  <c r="U16" i="17"/>
  <c r="U34" i="17"/>
  <c r="V16" i="17"/>
  <c r="W16" i="17"/>
  <c r="W34" i="17"/>
  <c r="X16" i="17"/>
  <c r="X34" i="17"/>
  <c r="Y16" i="17"/>
  <c r="Z16" i="17"/>
  <c r="AA16" i="17"/>
  <c r="AB16" i="17"/>
  <c r="AC16" i="17"/>
  <c r="AC34" i="17"/>
  <c r="AD16" i="17"/>
  <c r="AD34" i="17"/>
  <c r="AE16" i="17"/>
  <c r="AE34" i="17"/>
  <c r="AF16" i="17"/>
  <c r="AG16" i="17"/>
  <c r="AG34" i="17"/>
  <c r="AH16" i="17"/>
  <c r="AI16" i="17"/>
  <c r="AJ16" i="17"/>
  <c r="AK16" i="17"/>
  <c r="AL16" i="17"/>
  <c r="AM16" i="17"/>
  <c r="AN16" i="17"/>
  <c r="AO16" i="17"/>
  <c r="AO34" i="17"/>
  <c r="AP16" i="17"/>
  <c r="AQ16" i="17"/>
  <c r="AR16" i="17"/>
  <c r="AS16" i="17"/>
  <c r="AT16" i="17"/>
  <c r="AU16" i="17"/>
  <c r="AV16" i="17"/>
  <c r="AW16" i="17"/>
  <c r="AX16" i="17"/>
  <c r="AX34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BM16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BF15" i="17"/>
  <c r="BG15" i="17"/>
  <c r="BH15" i="17"/>
  <c r="BI15" i="17"/>
  <c r="BJ15" i="17"/>
  <c r="BK15" i="17"/>
  <c r="BL15" i="17"/>
  <c r="BM15" i="17"/>
  <c r="E15" i="17"/>
  <c r="D15" i="17"/>
  <c r="C15" i="17"/>
  <c r="BM33" i="17"/>
  <c r="BL33" i="17"/>
  <c r="BK33" i="17"/>
  <c r="BJ33" i="17"/>
  <c r="BI33" i="17"/>
  <c r="BH33" i="17"/>
  <c r="BG33" i="17"/>
  <c r="BF33" i="17"/>
  <c r="BE33" i="17"/>
  <c r="BD33" i="17"/>
  <c r="BC33" i="17"/>
  <c r="BB33" i="17"/>
  <c r="BA33" i="17"/>
  <c r="AZ33" i="17"/>
  <c r="AY33" i="17"/>
  <c r="AY34" i="17"/>
  <c r="AX33" i="17"/>
  <c r="AW33" i="17"/>
  <c r="AW34" i="17"/>
  <c r="AV33" i="17"/>
  <c r="AU33" i="17"/>
  <c r="AT33" i="17"/>
  <c r="AS33" i="17"/>
  <c r="AR33" i="17"/>
  <c r="AR34" i="17"/>
  <c r="AQ33" i="17"/>
  <c r="AP33" i="17"/>
  <c r="AP34" i="17"/>
  <c r="AO33" i="17"/>
  <c r="AN33" i="17"/>
  <c r="AM33" i="17"/>
  <c r="AL33" i="17"/>
  <c r="AK33" i="17"/>
  <c r="AJ33" i="17"/>
  <c r="AI33" i="17"/>
  <c r="AH33" i="17"/>
  <c r="AG33" i="17"/>
  <c r="AF33" i="17"/>
  <c r="AD33" i="17"/>
  <c r="AC33" i="17"/>
  <c r="AB33" i="17"/>
  <c r="AA33" i="17"/>
  <c r="AA34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M34" i="17"/>
  <c r="L33" i="17"/>
  <c r="K33" i="17"/>
  <c r="J33" i="17"/>
  <c r="I33" i="17"/>
  <c r="H33" i="17"/>
  <c r="G33" i="17"/>
  <c r="F33" i="17"/>
  <c r="E33" i="17"/>
  <c r="C33" i="17"/>
  <c r="B33" i="17"/>
  <c r="AU34" i="17"/>
  <c r="AK34" i="17"/>
  <c r="AI34" i="17"/>
  <c r="T34" i="17"/>
  <c r="D34" i="17"/>
  <c r="C34" i="17"/>
  <c r="B16" i="17"/>
  <c r="B34" i="17"/>
  <c r="B15" i="17"/>
  <c r="BK33" i="16"/>
  <c r="BJ33" i="16"/>
  <c r="BI33" i="16"/>
  <c r="BH33" i="16"/>
  <c r="BG33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S34" i="16"/>
  <c r="AR33" i="16"/>
  <c r="AQ33" i="16"/>
  <c r="AP33" i="16"/>
  <c r="AO33" i="16"/>
  <c r="AN33" i="16"/>
  <c r="AM33" i="16"/>
  <c r="AL33" i="16"/>
  <c r="AK33" i="16"/>
  <c r="AJ33" i="16"/>
  <c r="AJ34" i="16"/>
  <c r="AI33" i="16"/>
  <c r="AH33" i="16"/>
  <c r="AG33" i="16"/>
  <c r="AF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S34" i="16"/>
  <c r="R33" i="16"/>
  <c r="Q33" i="16"/>
  <c r="P33" i="16"/>
  <c r="O33" i="16"/>
  <c r="N33" i="16"/>
  <c r="M33" i="16"/>
  <c r="M34" i="16"/>
  <c r="L33" i="16"/>
  <c r="L34" i="16"/>
  <c r="K33" i="16"/>
  <c r="J33" i="16"/>
  <c r="I33" i="16"/>
  <c r="H33" i="16"/>
  <c r="H34" i="16"/>
  <c r="G33" i="16"/>
  <c r="F33" i="16"/>
  <c r="E33" i="16"/>
  <c r="C33" i="16"/>
  <c r="B33" i="16"/>
  <c r="BC16" i="16"/>
  <c r="BB16" i="16"/>
  <c r="BA16" i="16"/>
  <c r="AZ16" i="16"/>
  <c r="AY16" i="16"/>
  <c r="AX16" i="16"/>
  <c r="AX34" i="16"/>
  <c r="AW16" i="16"/>
  <c r="AV16" i="16"/>
  <c r="AU16" i="16"/>
  <c r="AU34" i="16"/>
  <c r="AT16" i="16"/>
  <c r="BD16" i="16"/>
  <c r="AS16" i="16"/>
  <c r="AR16" i="16"/>
  <c r="AQ16" i="16"/>
  <c r="AQ34" i="16"/>
  <c r="AP16" i="16"/>
  <c r="AO16" i="16"/>
  <c r="AN16" i="16"/>
  <c r="AM16" i="16"/>
  <c r="AL16" i="16"/>
  <c r="AK16" i="16"/>
  <c r="AK34" i="16"/>
  <c r="AJ16" i="16"/>
  <c r="AI16" i="16"/>
  <c r="AI34" i="16"/>
  <c r="AH16" i="16"/>
  <c r="AG16" i="16"/>
  <c r="AF16" i="16"/>
  <c r="AF34" i="16"/>
  <c r="AE16" i="16"/>
  <c r="AE34" i="16"/>
  <c r="AD16" i="16"/>
  <c r="AC16" i="16"/>
  <c r="AC34" i="16"/>
  <c r="AB16" i="16"/>
  <c r="AB34" i="16"/>
  <c r="AA16" i="16"/>
  <c r="Z16" i="16"/>
  <c r="Y16" i="16"/>
  <c r="X16" i="16"/>
  <c r="W16" i="16"/>
  <c r="V16" i="16"/>
  <c r="U16" i="16"/>
  <c r="T16" i="16"/>
  <c r="T34" i="16"/>
  <c r="S16" i="16"/>
  <c r="R16" i="16"/>
  <c r="R34" i="16"/>
  <c r="Q16" i="16"/>
  <c r="P16" i="16"/>
  <c r="O16" i="16"/>
  <c r="N16" i="16"/>
  <c r="M16" i="16"/>
  <c r="L16" i="16"/>
  <c r="K16" i="16"/>
  <c r="J16" i="16"/>
  <c r="J34" i="16"/>
  <c r="I16" i="16"/>
  <c r="H16" i="16"/>
  <c r="G16" i="16"/>
  <c r="G34" i="16"/>
  <c r="F16" i="16"/>
  <c r="E16" i="16"/>
  <c r="D16" i="16"/>
  <c r="C16" i="16"/>
  <c r="B16" i="16"/>
  <c r="B34" i="16"/>
  <c r="BC15" i="16"/>
  <c r="BB15" i="16"/>
  <c r="BA15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S15" i="16"/>
  <c r="R15" i="16"/>
  <c r="Q15" i="16"/>
  <c r="P15" i="16"/>
  <c r="O15" i="16"/>
  <c r="N15" i="16"/>
  <c r="M15" i="16"/>
  <c r="L15" i="16"/>
  <c r="K15" i="16"/>
  <c r="H15" i="16"/>
  <c r="G15" i="16"/>
  <c r="E15" i="16"/>
  <c r="C15" i="16"/>
  <c r="B15" i="16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L34" i="15"/>
  <c r="AK33" i="15"/>
  <c r="AJ33" i="15"/>
  <c r="AI33" i="15"/>
  <c r="AH33" i="15"/>
  <c r="AG33" i="15"/>
  <c r="AF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C33" i="15"/>
  <c r="B33" i="15"/>
  <c r="BC16" i="15"/>
  <c r="BB16" i="15"/>
  <c r="BA16" i="15"/>
  <c r="AZ16" i="15"/>
  <c r="AY16" i="15"/>
  <c r="AX16" i="15"/>
  <c r="AW16" i="15"/>
  <c r="AV16" i="15"/>
  <c r="AU16" i="15"/>
  <c r="AU34" i="15"/>
  <c r="AT16" i="15"/>
  <c r="AS16" i="15"/>
  <c r="AR16" i="15"/>
  <c r="AQ16" i="15"/>
  <c r="AP16" i="15"/>
  <c r="AO16" i="15"/>
  <c r="AN16" i="15"/>
  <c r="AM16" i="15"/>
  <c r="AL16" i="15"/>
  <c r="AK16" i="15"/>
  <c r="AK34" i="15"/>
  <c r="AJ16" i="15"/>
  <c r="AI16" i="15"/>
  <c r="AI34" i="15"/>
  <c r="AH16" i="15"/>
  <c r="AG16" i="15"/>
  <c r="AG34" i="15"/>
  <c r="AF16" i="15"/>
  <c r="AE16" i="15"/>
  <c r="AE34" i="15"/>
  <c r="AD16" i="15"/>
  <c r="AC16" i="15"/>
  <c r="AB16" i="15"/>
  <c r="AA16" i="15"/>
  <c r="Z16" i="15"/>
  <c r="Y16" i="15"/>
  <c r="X16" i="15"/>
  <c r="X34" i="15"/>
  <c r="W16" i="15"/>
  <c r="V16" i="15"/>
  <c r="U16" i="15"/>
  <c r="T16" i="15"/>
  <c r="T34" i="15"/>
  <c r="S16" i="15"/>
  <c r="R16" i="15"/>
  <c r="Q16" i="15"/>
  <c r="P16" i="15"/>
  <c r="O16" i="15"/>
  <c r="N16" i="15"/>
  <c r="M16" i="15"/>
  <c r="M34" i="15"/>
  <c r="L16" i="15"/>
  <c r="K16" i="15"/>
  <c r="J16" i="15"/>
  <c r="J34" i="15"/>
  <c r="I16" i="15"/>
  <c r="H16" i="15"/>
  <c r="G16" i="15"/>
  <c r="G34" i="15"/>
  <c r="F16" i="15"/>
  <c r="E16" i="15"/>
  <c r="D16" i="15"/>
  <c r="D34" i="15"/>
  <c r="C16" i="15"/>
  <c r="B16" i="15"/>
  <c r="B34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S15" i="15"/>
  <c r="R15" i="15"/>
  <c r="Q15" i="15"/>
  <c r="P15" i="15"/>
  <c r="O15" i="15"/>
  <c r="N15" i="15"/>
  <c r="M15" i="15"/>
  <c r="L15" i="15"/>
  <c r="K15" i="15"/>
  <c r="H15" i="15"/>
  <c r="G15" i="15"/>
  <c r="E15" i="15"/>
  <c r="C15" i="15"/>
  <c r="B15" i="15"/>
  <c r="BJ33" i="14"/>
  <c r="C15" i="14"/>
  <c r="E15" i="14"/>
  <c r="G15" i="14"/>
  <c r="H15" i="14"/>
  <c r="K15" i="14"/>
  <c r="L15" i="14"/>
  <c r="M15" i="14"/>
  <c r="N15" i="14"/>
  <c r="O15" i="14"/>
  <c r="P15" i="14"/>
  <c r="Q15" i="14"/>
  <c r="R15" i="14"/>
  <c r="S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BD15" i="14"/>
  <c r="AG15" i="14"/>
  <c r="AH15" i="14"/>
  <c r="AI15" i="14"/>
  <c r="AJ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C16" i="14"/>
  <c r="D16" i="14"/>
  <c r="E16" i="14"/>
  <c r="F16" i="14"/>
  <c r="G16" i="14"/>
  <c r="G34" i="14"/>
  <c r="H16" i="14"/>
  <c r="I16" i="14"/>
  <c r="I34" i="14"/>
  <c r="J16" i="14"/>
  <c r="K16" i="14"/>
  <c r="L16" i="14"/>
  <c r="M16" i="14"/>
  <c r="N16" i="14"/>
  <c r="O16" i="14"/>
  <c r="P16" i="14"/>
  <c r="P34" i="14"/>
  <c r="Q16" i="14"/>
  <c r="R16" i="14"/>
  <c r="S16" i="14"/>
  <c r="T16" i="14"/>
  <c r="T34" i="14"/>
  <c r="U16" i="14"/>
  <c r="V16" i="14"/>
  <c r="W16" i="14"/>
  <c r="X16" i="14"/>
  <c r="X34" i="14"/>
  <c r="Y16" i="14"/>
  <c r="Z16" i="14"/>
  <c r="AA16" i="14"/>
  <c r="AB16" i="14"/>
  <c r="AC16" i="14"/>
  <c r="AD16" i="14"/>
  <c r="AE16" i="14"/>
  <c r="AE34" i="14"/>
  <c r="AF16" i="14"/>
  <c r="AG16" i="14"/>
  <c r="AH16" i="14"/>
  <c r="AI16" i="14"/>
  <c r="AJ16" i="14"/>
  <c r="AK16" i="14"/>
  <c r="AK34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D16" i="14"/>
  <c r="BA16" i="14"/>
  <c r="BB16" i="14"/>
  <c r="BC16" i="14"/>
  <c r="BI33" i="14"/>
  <c r="BH33" i="14"/>
  <c r="BG33" i="14"/>
  <c r="BF33" i="14"/>
  <c r="BE33" i="14"/>
  <c r="BD33" i="14"/>
  <c r="BC33" i="14"/>
  <c r="BB33" i="14"/>
  <c r="BA33" i="14"/>
  <c r="AZ33" i="14"/>
  <c r="AY33" i="14"/>
  <c r="AY34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D33" i="14"/>
  <c r="AC33" i="14"/>
  <c r="AB33" i="14"/>
  <c r="AA33" i="14"/>
  <c r="Z33" i="14"/>
  <c r="Y33" i="14"/>
  <c r="X33" i="14"/>
  <c r="W33" i="14"/>
  <c r="V33" i="14"/>
  <c r="V34" i="14"/>
  <c r="U33" i="14"/>
  <c r="T33" i="14"/>
  <c r="S33" i="14"/>
  <c r="R33" i="14"/>
  <c r="Q33" i="14"/>
  <c r="Q34" i="14"/>
  <c r="P33" i="14"/>
  <c r="O33" i="14"/>
  <c r="N33" i="14"/>
  <c r="M33" i="14"/>
  <c r="L33" i="14"/>
  <c r="K33" i="14"/>
  <c r="J33" i="14"/>
  <c r="I33" i="14"/>
  <c r="H33" i="14"/>
  <c r="H34" i="14"/>
  <c r="G33" i="14"/>
  <c r="F33" i="14"/>
  <c r="E33" i="14"/>
  <c r="C33" i="14"/>
  <c r="B33" i="14"/>
  <c r="AU34" i="14"/>
  <c r="AI34" i="14"/>
  <c r="J34" i="14"/>
  <c r="B16" i="14"/>
  <c r="B34" i="14"/>
  <c r="B15" i="14"/>
  <c r="BI33" i="13"/>
  <c r="BD33" i="12"/>
  <c r="BD16" i="12"/>
  <c r="BD15" i="12"/>
  <c r="BH33" i="13"/>
  <c r="BG33" i="13"/>
  <c r="BC34" i="12"/>
  <c r="BC33" i="12"/>
  <c r="BB33" i="12"/>
  <c r="BA33" i="12"/>
  <c r="AZ33" i="12"/>
  <c r="BD33" i="13"/>
  <c r="BE33" i="13"/>
  <c r="BF33" i="13"/>
  <c r="AZ33" i="13"/>
  <c r="BA33" i="13"/>
  <c r="BB33" i="13"/>
  <c r="BC33" i="13"/>
  <c r="AZ15" i="13"/>
  <c r="BA15" i="13"/>
  <c r="BB15" i="13"/>
  <c r="BC15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D33" i="13"/>
  <c r="AC33" i="13"/>
  <c r="AB33" i="13"/>
  <c r="AA33" i="13"/>
  <c r="Z33" i="13"/>
  <c r="Z34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C33" i="13"/>
  <c r="B33" i="13"/>
  <c r="BC16" i="13"/>
  <c r="BB16" i="13"/>
  <c r="BA16" i="13"/>
  <c r="AZ16" i="13"/>
  <c r="AY16" i="13"/>
  <c r="AX16" i="13"/>
  <c r="AX34" i="13"/>
  <c r="AW16" i="13"/>
  <c r="AV16" i="13"/>
  <c r="AU16" i="13"/>
  <c r="AU34" i="13"/>
  <c r="AT16" i="13"/>
  <c r="AS16" i="13"/>
  <c r="AR16" i="13"/>
  <c r="AR34" i="13"/>
  <c r="AQ16" i="13"/>
  <c r="AP16" i="13"/>
  <c r="AO16" i="13"/>
  <c r="AN16" i="13"/>
  <c r="AM16" i="13"/>
  <c r="AM34" i="13"/>
  <c r="AL16" i="13"/>
  <c r="AK16" i="13"/>
  <c r="AK34" i="13"/>
  <c r="AJ16" i="13"/>
  <c r="AJ34" i="13"/>
  <c r="AI16" i="13"/>
  <c r="AI34" i="13"/>
  <c r="AH16" i="13"/>
  <c r="AH34" i="13"/>
  <c r="AG16" i="13"/>
  <c r="AF16" i="13"/>
  <c r="AF34" i="13"/>
  <c r="AE16" i="13"/>
  <c r="AE34" i="13"/>
  <c r="AD16" i="13"/>
  <c r="AD34" i="13"/>
  <c r="AC16" i="13"/>
  <c r="AB16" i="13"/>
  <c r="AA16" i="13"/>
  <c r="AA34" i="13"/>
  <c r="Z16" i="13"/>
  <c r="Y16" i="13"/>
  <c r="X16" i="13"/>
  <c r="X34" i="13"/>
  <c r="W16" i="13"/>
  <c r="W34" i="13"/>
  <c r="V16" i="13"/>
  <c r="U16" i="13"/>
  <c r="U34" i="13"/>
  <c r="T16" i="13"/>
  <c r="T34" i="13"/>
  <c r="S16" i="13"/>
  <c r="R16" i="13"/>
  <c r="R34" i="13"/>
  <c r="Q16" i="13"/>
  <c r="P16" i="13"/>
  <c r="P34" i="13"/>
  <c r="O16" i="13"/>
  <c r="N16" i="13"/>
  <c r="M16" i="13"/>
  <c r="M34" i="13"/>
  <c r="L16" i="13"/>
  <c r="L34" i="13"/>
  <c r="K16" i="13"/>
  <c r="K34" i="13"/>
  <c r="J16" i="13"/>
  <c r="J34" i="13"/>
  <c r="I16" i="13"/>
  <c r="H16" i="13"/>
  <c r="G16" i="13"/>
  <c r="G34" i="13"/>
  <c r="F16" i="13"/>
  <c r="E16" i="13"/>
  <c r="E34" i="13"/>
  <c r="D16" i="13"/>
  <c r="C16" i="13"/>
  <c r="C34" i="13"/>
  <c r="B16" i="13"/>
  <c r="B34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S15" i="13"/>
  <c r="R15" i="13"/>
  <c r="Q15" i="13"/>
  <c r="P15" i="13"/>
  <c r="O15" i="13"/>
  <c r="N15" i="13"/>
  <c r="M15" i="13"/>
  <c r="L15" i="13"/>
  <c r="K15" i="13"/>
  <c r="H15" i="13"/>
  <c r="G15" i="13"/>
  <c r="E15" i="13"/>
  <c r="C15" i="13"/>
  <c r="B15" i="13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D33" i="12"/>
  <c r="AC33" i="12"/>
  <c r="AB33" i="12"/>
  <c r="AA33" i="12"/>
  <c r="AA34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C33" i="12"/>
  <c r="B33" i="12"/>
  <c r="BC16" i="12"/>
  <c r="BB16" i="12"/>
  <c r="BB34" i="12"/>
  <c r="BA16" i="12"/>
  <c r="BA34" i="12"/>
  <c r="AZ16" i="12"/>
  <c r="AZ34" i="12"/>
  <c r="AY16" i="12"/>
  <c r="AX16" i="12"/>
  <c r="AW16" i="12"/>
  <c r="AW34" i="12"/>
  <c r="AV16" i="12"/>
  <c r="AU16" i="12"/>
  <c r="AU34" i="12"/>
  <c r="AT16" i="12"/>
  <c r="AT34" i="12"/>
  <c r="AS16" i="12"/>
  <c r="AS34" i="12"/>
  <c r="AR16" i="12"/>
  <c r="AR34" i="12"/>
  <c r="AQ16" i="12"/>
  <c r="AP16" i="12"/>
  <c r="AO16" i="12"/>
  <c r="AN16" i="12"/>
  <c r="AN34" i="12"/>
  <c r="AM16" i="12"/>
  <c r="AM34" i="12"/>
  <c r="AL16" i="12"/>
  <c r="AK16" i="12"/>
  <c r="AK34" i="12"/>
  <c r="AJ16" i="12"/>
  <c r="AI16" i="12"/>
  <c r="AI34" i="12"/>
  <c r="AH16" i="12"/>
  <c r="AG16" i="12"/>
  <c r="AG34" i="12"/>
  <c r="AF16" i="12"/>
  <c r="AF34" i="12"/>
  <c r="AE16" i="12"/>
  <c r="AE34" i="12"/>
  <c r="AD16" i="12"/>
  <c r="AD34" i="12"/>
  <c r="AC16" i="12"/>
  <c r="AC34" i="12"/>
  <c r="AB16" i="12"/>
  <c r="AA16" i="12"/>
  <c r="Z16" i="12"/>
  <c r="Z34" i="12"/>
  <c r="Y16" i="12"/>
  <c r="X16" i="12"/>
  <c r="X34" i="12"/>
  <c r="W16" i="12"/>
  <c r="V16" i="12"/>
  <c r="V34" i="12"/>
  <c r="U16" i="12"/>
  <c r="T16" i="12"/>
  <c r="T34" i="12"/>
  <c r="S16" i="12"/>
  <c r="S34" i="12"/>
  <c r="R16" i="12"/>
  <c r="Q16" i="12"/>
  <c r="P16" i="12"/>
  <c r="P34" i="12"/>
  <c r="O16" i="12"/>
  <c r="N16" i="12"/>
  <c r="M16" i="12"/>
  <c r="M34" i="12"/>
  <c r="L16" i="12"/>
  <c r="K16" i="12"/>
  <c r="J16" i="12"/>
  <c r="J34" i="12"/>
  <c r="I16" i="12"/>
  <c r="H16" i="12"/>
  <c r="G16" i="12"/>
  <c r="G34" i="12"/>
  <c r="F16" i="12"/>
  <c r="E16" i="12"/>
  <c r="D16" i="12"/>
  <c r="D34" i="12"/>
  <c r="C16" i="12"/>
  <c r="C34" i="12"/>
  <c r="B16" i="12"/>
  <c r="B34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S15" i="12"/>
  <c r="R15" i="12"/>
  <c r="Q15" i="12"/>
  <c r="P15" i="12"/>
  <c r="O15" i="12"/>
  <c r="N15" i="12"/>
  <c r="M15" i="12"/>
  <c r="L15" i="12"/>
  <c r="K15" i="12"/>
  <c r="H15" i="12"/>
  <c r="G15" i="12"/>
  <c r="E15" i="12"/>
  <c r="C15" i="12"/>
  <c r="B15" i="12"/>
  <c r="BC15" i="11"/>
  <c r="BC16" i="11"/>
  <c r="AE15" i="11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C15" i="9"/>
  <c r="AY33" i="11"/>
  <c r="AY34" i="11"/>
  <c r="AX33" i="11"/>
  <c r="AW33" i="11"/>
  <c r="AV33" i="11"/>
  <c r="AU33" i="11"/>
  <c r="AT33" i="11"/>
  <c r="AT34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D33" i="11"/>
  <c r="AC33" i="11"/>
  <c r="AB33" i="11"/>
  <c r="AA33" i="11"/>
  <c r="AA34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L34" i="11"/>
  <c r="K33" i="11"/>
  <c r="J33" i="11"/>
  <c r="I33" i="11"/>
  <c r="H33" i="11"/>
  <c r="G33" i="11"/>
  <c r="F33" i="11"/>
  <c r="F34" i="11"/>
  <c r="E33" i="11"/>
  <c r="C33" i="11"/>
  <c r="B33" i="11"/>
  <c r="BB16" i="11"/>
  <c r="BA16" i="11"/>
  <c r="AZ16" i="11"/>
  <c r="AY16" i="11"/>
  <c r="AX16" i="11"/>
  <c r="AW16" i="11"/>
  <c r="AV16" i="11"/>
  <c r="AU16" i="11"/>
  <c r="AU34" i="11"/>
  <c r="AT16" i="11"/>
  <c r="AS16" i="11"/>
  <c r="AS34" i="11"/>
  <c r="AR16" i="11"/>
  <c r="AQ16" i="11"/>
  <c r="AQ34" i="11"/>
  <c r="AP16" i="11"/>
  <c r="AO16" i="11"/>
  <c r="AO34" i="11"/>
  <c r="AN16" i="11"/>
  <c r="AM16" i="11"/>
  <c r="AL16" i="11"/>
  <c r="AL34" i="11"/>
  <c r="AK16" i="11"/>
  <c r="AK34" i="11"/>
  <c r="AJ16" i="11"/>
  <c r="AJ34" i="11"/>
  <c r="AI16" i="11"/>
  <c r="AI34" i="11"/>
  <c r="AH16" i="11"/>
  <c r="AH34" i="11"/>
  <c r="AG16" i="11"/>
  <c r="AF16" i="11"/>
  <c r="AF34" i="11"/>
  <c r="AE16" i="11"/>
  <c r="AE34" i="11"/>
  <c r="AD16" i="11"/>
  <c r="AC16" i="11"/>
  <c r="AB16" i="11"/>
  <c r="AA16" i="11"/>
  <c r="Z16" i="11"/>
  <c r="Z34" i="11"/>
  <c r="Y16" i="11"/>
  <c r="X16" i="11"/>
  <c r="X34" i="11"/>
  <c r="W16" i="11"/>
  <c r="W34" i="11"/>
  <c r="V16" i="11"/>
  <c r="V34" i="11"/>
  <c r="U16" i="11"/>
  <c r="T16" i="11"/>
  <c r="T34" i="11"/>
  <c r="S16" i="11"/>
  <c r="S34" i="11"/>
  <c r="R16" i="11"/>
  <c r="R34" i="11"/>
  <c r="Q16" i="11"/>
  <c r="P16" i="11"/>
  <c r="O16" i="11"/>
  <c r="O34" i="11"/>
  <c r="N16" i="11"/>
  <c r="N34" i="11"/>
  <c r="M16" i="11"/>
  <c r="M34" i="11"/>
  <c r="L16" i="11"/>
  <c r="K16" i="11"/>
  <c r="J16" i="11"/>
  <c r="J34" i="11"/>
  <c r="I16" i="11"/>
  <c r="I34" i="11"/>
  <c r="H16" i="11"/>
  <c r="H34" i="11"/>
  <c r="G16" i="11"/>
  <c r="G34" i="11"/>
  <c r="F16" i="11"/>
  <c r="E16" i="11"/>
  <c r="E34" i="11"/>
  <c r="D16" i="11"/>
  <c r="D34" i="11"/>
  <c r="C16" i="11"/>
  <c r="B16" i="11"/>
  <c r="B34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J15" i="11"/>
  <c r="AI15" i="11"/>
  <c r="AH15" i="11"/>
  <c r="AG15" i="11"/>
  <c r="AF15" i="11"/>
  <c r="AD15" i="11"/>
  <c r="AC15" i="11"/>
  <c r="AB15" i="11"/>
  <c r="AA15" i="11"/>
  <c r="Z15" i="11"/>
  <c r="Y15" i="11"/>
  <c r="X15" i="11"/>
  <c r="W15" i="11"/>
  <c r="V15" i="11"/>
  <c r="U15" i="11"/>
  <c r="S15" i="11"/>
  <c r="R15" i="11"/>
  <c r="Q15" i="11"/>
  <c r="P15" i="11"/>
  <c r="O15" i="11"/>
  <c r="N15" i="11"/>
  <c r="M15" i="11"/>
  <c r="L15" i="11"/>
  <c r="K15" i="11"/>
  <c r="H15" i="11"/>
  <c r="G15" i="11"/>
  <c r="E15" i="11"/>
  <c r="C15" i="11"/>
  <c r="B15" i="11"/>
  <c r="AR33" i="10"/>
  <c r="AD33" i="9"/>
  <c r="AY33" i="10"/>
  <c r="AX33" i="10"/>
  <c r="AW33" i="10"/>
  <c r="AV33" i="10"/>
  <c r="AU33" i="10"/>
  <c r="AT33" i="10"/>
  <c r="AS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P34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BB16" i="10"/>
  <c r="BA16" i="10"/>
  <c r="AZ16" i="10"/>
  <c r="AY16" i="10"/>
  <c r="AX16" i="10"/>
  <c r="AX34" i="10"/>
  <c r="AW16" i="10"/>
  <c r="AV16" i="10"/>
  <c r="AU16" i="10"/>
  <c r="AU34" i="10"/>
  <c r="AT16" i="10"/>
  <c r="AT34" i="10"/>
  <c r="AS16" i="10"/>
  <c r="AS34" i="10"/>
  <c r="AR16" i="10"/>
  <c r="AQ16" i="10"/>
  <c r="AP16" i="10"/>
  <c r="AP34" i="10"/>
  <c r="AO16" i="10"/>
  <c r="AO34" i="10"/>
  <c r="AN16" i="10"/>
  <c r="AN34" i="10"/>
  <c r="AM16" i="10"/>
  <c r="AM34" i="10"/>
  <c r="AL16" i="10"/>
  <c r="AK16" i="10"/>
  <c r="AK34" i="10"/>
  <c r="AJ16" i="10"/>
  <c r="AI16" i="10"/>
  <c r="AI34" i="10"/>
  <c r="AH16" i="10"/>
  <c r="AG16" i="10"/>
  <c r="AG34" i="10"/>
  <c r="AF16" i="10"/>
  <c r="AF34" i="10"/>
  <c r="AE16" i="10"/>
  <c r="AE34" i="10"/>
  <c r="AD16" i="10"/>
  <c r="AC16" i="10"/>
  <c r="AC34" i="10"/>
  <c r="AB16" i="10"/>
  <c r="AA16" i="10"/>
  <c r="Z16" i="10"/>
  <c r="Y16" i="10"/>
  <c r="Y34" i="10"/>
  <c r="X16" i="10"/>
  <c r="X34" i="10"/>
  <c r="W16" i="10"/>
  <c r="W34" i="10"/>
  <c r="V16" i="10"/>
  <c r="U16" i="10"/>
  <c r="T16" i="10"/>
  <c r="T34" i="10"/>
  <c r="S16" i="10"/>
  <c r="R16" i="10"/>
  <c r="R34" i="10"/>
  <c r="Q16" i="10"/>
  <c r="Q34" i="10"/>
  <c r="P16" i="10"/>
  <c r="O16" i="10"/>
  <c r="N16" i="10"/>
  <c r="M16" i="10"/>
  <c r="L16" i="10"/>
  <c r="K16" i="10"/>
  <c r="J16" i="10"/>
  <c r="J34" i="10"/>
  <c r="I16" i="10"/>
  <c r="I34" i="10"/>
  <c r="H16" i="10"/>
  <c r="G16" i="10"/>
  <c r="G34" i="10"/>
  <c r="F16" i="10"/>
  <c r="E16" i="10"/>
  <c r="E34" i="10"/>
  <c r="D16" i="10"/>
  <c r="D34" i="10"/>
  <c r="C16" i="10"/>
  <c r="C34" i="10"/>
  <c r="B16" i="10"/>
  <c r="B34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J15" i="10"/>
  <c r="AI15" i="10"/>
  <c r="AH15" i="10"/>
  <c r="AG15" i="10"/>
  <c r="AF15" i="10"/>
  <c r="AD15" i="10"/>
  <c r="AC15" i="10"/>
  <c r="AB15" i="10"/>
  <c r="AA15" i="10"/>
  <c r="Z15" i="10"/>
  <c r="Y15" i="10"/>
  <c r="X15" i="10"/>
  <c r="W15" i="10"/>
  <c r="V15" i="10"/>
  <c r="U15" i="10"/>
  <c r="S15" i="10"/>
  <c r="R15" i="10"/>
  <c r="Q15" i="10"/>
  <c r="P15" i="10"/>
  <c r="O15" i="10"/>
  <c r="N15" i="10"/>
  <c r="M15" i="10"/>
  <c r="L15" i="10"/>
  <c r="K15" i="10"/>
  <c r="H15" i="10"/>
  <c r="G15" i="10"/>
  <c r="E15" i="10"/>
  <c r="C15" i="10"/>
  <c r="B15" i="10"/>
  <c r="B34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C33" i="9"/>
  <c r="AB33" i="9"/>
  <c r="AA33" i="9"/>
  <c r="AA34" i="9"/>
  <c r="Z33" i="9"/>
  <c r="Y33" i="9"/>
  <c r="X33" i="9"/>
  <c r="W33" i="9"/>
  <c r="V33" i="9"/>
  <c r="V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C33" i="9"/>
  <c r="B33" i="9"/>
  <c r="BB16" i="9"/>
  <c r="BA16" i="9"/>
  <c r="AZ16" i="9"/>
  <c r="AY16" i="9"/>
  <c r="AX16" i="9"/>
  <c r="AX34" i="9"/>
  <c r="AW16" i="9"/>
  <c r="AV16" i="9"/>
  <c r="AU16" i="9"/>
  <c r="AU34" i="9"/>
  <c r="AT16" i="9"/>
  <c r="AS16" i="9"/>
  <c r="AS34" i="9"/>
  <c r="AR16" i="9"/>
  <c r="AQ16" i="9"/>
  <c r="AQ34" i="9"/>
  <c r="AP16" i="9"/>
  <c r="AO16" i="9"/>
  <c r="AN16" i="9"/>
  <c r="AN34" i="9"/>
  <c r="AM16" i="9"/>
  <c r="AL16" i="9"/>
  <c r="AK16" i="9"/>
  <c r="AK34" i="9"/>
  <c r="AJ16" i="9"/>
  <c r="AJ34" i="9"/>
  <c r="AI16" i="9"/>
  <c r="AI34" i="9"/>
  <c r="AH16" i="9"/>
  <c r="AG16" i="9"/>
  <c r="AF16" i="9"/>
  <c r="AE16" i="9"/>
  <c r="AE34" i="9"/>
  <c r="AD16" i="9"/>
  <c r="AD34" i="9"/>
  <c r="AC16" i="9"/>
  <c r="AC34" i="9"/>
  <c r="AB16" i="9"/>
  <c r="AA16" i="9"/>
  <c r="Z16" i="9"/>
  <c r="Z34" i="9"/>
  <c r="Y16" i="9"/>
  <c r="Y34" i="9"/>
  <c r="X16" i="9"/>
  <c r="X34" i="9"/>
  <c r="W16" i="9"/>
  <c r="W34" i="9"/>
  <c r="V16" i="9"/>
  <c r="U16" i="9"/>
  <c r="U34" i="9"/>
  <c r="T16" i="9"/>
  <c r="T34" i="9"/>
  <c r="S16" i="9"/>
  <c r="S34" i="9"/>
  <c r="R16" i="9"/>
  <c r="R34" i="9"/>
  <c r="Q16" i="9"/>
  <c r="Q34" i="9"/>
  <c r="P16" i="9"/>
  <c r="P34" i="9"/>
  <c r="O16" i="9"/>
  <c r="O34" i="9"/>
  <c r="N16" i="9"/>
  <c r="M16" i="9"/>
  <c r="L16" i="9"/>
  <c r="L34" i="9"/>
  <c r="K16" i="9"/>
  <c r="K34" i="9"/>
  <c r="J16" i="9"/>
  <c r="J34" i="9"/>
  <c r="I16" i="9"/>
  <c r="I34" i="9"/>
  <c r="H16" i="9"/>
  <c r="G16" i="9"/>
  <c r="G34" i="9"/>
  <c r="F16" i="9"/>
  <c r="E16" i="9"/>
  <c r="D16" i="9"/>
  <c r="D34" i="9"/>
  <c r="C16" i="9"/>
  <c r="C34" i="9"/>
  <c r="B16" i="9"/>
  <c r="B15" i="9"/>
  <c r="N33" i="8"/>
  <c r="I16" i="7"/>
  <c r="F16" i="7"/>
  <c r="AK34" i="8"/>
  <c r="AE34" i="8"/>
  <c r="T34" i="8"/>
  <c r="J34" i="8"/>
  <c r="D34" i="8"/>
  <c r="AY33" i="8"/>
  <c r="AX33" i="8"/>
  <c r="AW33" i="8"/>
  <c r="AV33" i="8"/>
  <c r="AU33" i="8"/>
  <c r="AT33" i="8"/>
  <c r="AS33" i="8"/>
  <c r="AR33" i="8"/>
  <c r="AQ33" i="8"/>
  <c r="AP33" i="8"/>
  <c r="AO33" i="8"/>
  <c r="AO34" i="8"/>
  <c r="AN33" i="8"/>
  <c r="AM33" i="8"/>
  <c r="AL33" i="8"/>
  <c r="AK33" i="8"/>
  <c r="AJ33" i="8"/>
  <c r="AI33" i="8"/>
  <c r="AH33" i="8"/>
  <c r="AG33" i="8"/>
  <c r="AF33" i="8"/>
  <c r="AD33" i="8"/>
  <c r="AC33" i="8"/>
  <c r="AB33" i="8"/>
  <c r="AA33" i="8"/>
  <c r="AA34" i="8"/>
  <c r="Z33" i="8"/>
  <c r="Z34" i="8"/>
  <c r="Y33" i="8"/>
  <c r="X33" i="8"/>
  <c r="W33" i="8"/>
  <c r="W34" i="8"/>
  <c r="V33" i="8"/>
  <c r="U33" i="8"/>
  <c r="T33" i="8"/>
  <c r="S33" i="8"/>
  <c r="S34" i="8"/>
  <c r="R33" i="8"/>
  <c r="R34" i="8"/>
  <c r="Q33" i="8"/>
  <c r="P33" i="8"/>
  <c r="O33" i="8"/>
  <c r="M33" i="8"/>
  <c r="L33" i="8"/>
  <c r="K33" i="8"/>
  <c r="J33" i="8"/>
  <c r="I33" i="8"/>
  <c r="H33" i="8"/>
  <c r="G33" i="8"/>
  <c r="F33" i="8"/>
  <c r="E33" i="8"/>
  <c r="C33" i="8"/>
  <c r="B33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BB16" i="8"/>
  <c r="BA16" i="8"/>
  <c r="AZ16" i="8"/>
  <c r="AY16" i="8"/>
  <c r="AX16" i="8"/>
  <c r="AX34" i="8"/>
  <c r="AW16" i="8"/>
  <c r="AV16" i="8"/>
  <c r="AU16" i="8"/>
  <c r="AU34" i="8"/>
  <c r="AT16" i="8"/>
  <c r="AS16" i="8"/>
  <c r="AS34" i="8"/>
  <c r="AR16" i="8"/>
  <c r="AR34" i="8"/>
  <c r="AQ16" i="8"/>
  <c r="AQ34" i="8"/>
  <c r="AP16" i="8"/>
  <c r="AO16" i="8"/>
  <c r="AN16" i="8"/>
  <c r="AN34" i="8"/>
  <c r="AM16" i="8"/>
  <c r="AM34" i="8"/>
  <c r="AL16" i="8"/>
  <c r="AL34" i="8"/>
  <c r="AJ16" i="8"/>
  <c r="AJ34" i="8"/>
  <c r="AI16" i="8"/>
  <c r="AI34" i="8"/>
  <c r="AH16" i="8"/>
  <c r="AH34" i="8"/>
  <c r="AG16" i="8"/>
  <c r="AG34" i="8"/>
  <c r="AF16" i="8"/>
  <c r="AD16" i="8"/>
  <c r="AD34" i="8"/>
  <c r="AC16" i="8"/>
  <c r="AC34" i="8"/>
  <c r="AB16" i="8"/>
  <c r="AA16" i="8"/>
  <c r="Z16" i="8"/>
  <c r="Y16" i="8"/>
  <c r="X16" i="8"/>
  <c r="X34" i="8"/>
  <c r="W16" i="8"/>
  <c r="V16" i="8"/>
  <c r="U16" i="8"/>
  <c r="S16" i="8"/>
  <c r="R16" i="8"/>
  <c r="Q16" i="8"/>
  <c r="P16" i="8"/>
  <c r="P34" i="8"/>
  <c r="O16" i="8"/>
  <c r="O34" i="8"/>
  <c r="N16" i="8"/>
  <c r="M16" i="8"/>
  <c r="L16" i="8"/>
  <c r="L34" i="8"/>
  <c r="K16" i="8"/>
  <c r="K34" i="8"/>
  <c r="I34" i="8"/>
  <c r="H16" i="8"/>
  <c r="H34" i="8"/>
  <c r="G16" i="8"/>
  <c r="G34" i="8"/>
  <c r="F34" i="8"/>
  <c r="E16" i="8"/>
  <c r="E34" i="8"/>
  <c r="C16" i="8"/>
  <c r="C34" i="8"/>
  <c r="B16" i="8"/>
  <c r="B34" i="8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B17" i="7"/>
  <c r="AU17" i="7"/>
  <c r="AV17" i="7"/>
  <c r="AW17" i="7"/>
  <c r="AX17" i="7"/>
  <c r="AY17" i="7"/>
  <c r="AZ17" i="7"/>
  <c r="BA17" i="7"/>
  <c r="BB17" i="7"/>
  <c r="AT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G17" i="7"/>
  <c r="AF17" i="7"/>
  <c r="AY16" i="7"/>
  <c r="AY34" i="7"/>
  <c r="AY33" i="7"/>
  <c r="AX16" i="7"/>
  <c r="AX33" i="7"/>
  <c r="AW16" i="7"/>
  <c r="AW33" i="7"/>
  <c r="AV16" i="7"/>
  <c r="AV34" i="7"/>
  <c r="AV33" i="7"/>
  <c r="AU16" i="7"/>
  <c r="AU34" i="7"/>
  <c r="AT16" i="7"/>
  <c r="AT34" i="7"/>
  <c r="AT33" i="7"/>
  <c r="AS16" i="7"/>
  <c r="AS34" i="7"/>
  <c r="AS33" i="7"/>
  <c r="AR16" i="7"/>
  <c r="AR33" i="7"/>
  <c r="AQ16" i="7"/>
  <c r="AQ34" i="7"/>
  <c r="AQ33" i="7"/>
  <c r="AP16" i="7"/>
  <c r="AP33" i="7"/>
  <c r="AO16" i="7"/>
  <c r="AO33" i="7"/>
  <c r="AN16" i="7"/>
  <c r="AN33" i="7"/>
  <c r="AN34" i="7"/>
  <c r="AM16" i="7"/>
  <c r="AM34" i="7"/>
  <c r="AM33" i="7"/>
  <c r="AL16" i="7"/>
  <c r="AL33" i="7"/>
  <c r="AK34" i="7"/>
  <c r="AJ16" i="7"/>
  <c r="AJ34" i="7"/>
  <c r="AJ33" i="7"/>
  <c r="AI16" i="7"/>
  <c r="AI34" i="7"/>
  <c r="AH16" i="7"/>
  <c r="AH33" i="7"/>
  <c r="AG16" i="7"/>
  <c r="AG34" i="7"/>
  <c r="AG33" i="7"/>
  <c r="AF16" i="7"/>
  <c r="AF34" i="7"/>
  <c r="AF33" i="7"/>
  <c r="AE34" i="7"/>
  <c r="AD16" i="7"/>
  <c r="AD33" i="7"/>
  <c r="AD34" i="7"/>
  <c r="AC16" i="7"/>
  <c r="AC33" i="7"/>
  <c r="AC34" i="7"/>
  <c r="AB16" i="7"/>
  <c r="AB33" i="7"/>
  <c r="AA16" i="7"/>
  <c r="AA33" i="7"/>
  <c r="Z16" i="7"/>
  <c r="Z34" i="7"/>
  <c r="Z33" i="7"/>
  <c r="Y16" i="7"/>
  <c r="Y34" i="7"/>
  <c r="Y33" i="7"/>
  <c r="X16" i="7"/>
  <c r="X34" i="7"/>
  <c r="W16" i="7"/>
  <c r="W33" i="7"/>
  <c r="V16" i="7"/>
  <c r="V33" i="7"/>
  <c r="U16" i="7"/>
  <c r="U34" i="7"/>
  <c r="U33" i="7"/>
  <c r="T34" i="7"/>
  <c r="S16" i="7"/>
  <c r="S33" i="7"/>
  <c r="S34" i="7"/>
  <c r="R16" i="7"/>
  <c r="R34" i="7"/>
  <c r="R33" i="7"/>
  <c r="Q16" i="7"/>
  <c r="Q33" i="7"/>
  <c r="Q34" i="7"/>
  <c r="P16" i="7"/>
  <c r="P33" i="7"/>
  <c r="O16" i="7"/>
  <c r="O34" i="7"/>
  <c r="O33" i="7"/>
  <c r="N16" i="7"/>
  <c r="N33" i="7"/>
  <c r="N34" i="7"/>
  <c r="M16" i="7"/>
  <c r="M33" i="7"/>
  <c r="L16" i="7"/>
  <c r="L34" i="7"/>
  <c r="L33" i="7"/>
  <c r="K16" i="7"/>
  <c r="K33" i="7"/>
  <c r="J34" i="7"/>
  <c r="I33" i="7"/>
  <c r="H16" i="7"/>
  <c r="H34" i="7"/>
  <c r="H33" i="7"/>
  <c r="G16" i="7"/>
  <c r="G34" i="7"/>
  <c r="F33" i="7"/>
  <c r="E16" i="7"/>
  <c r="E33" i="7"/>
  <c r="D34" i="7"/>
  <c r="C16" i="7"/>
  <c r="C34" i="7"/>
  <c r="B16" i="7"/>
  <c r="B34" i="7"/>
  <c r="AU33" i="7"/>
  <c r="AK33" i="7"/>
  <c r="AI33" i="7"/>
  <c r="X33" i="7"/>
  <c r="T33" i="7"/>
  <c r="J33" i="7"/>
  <c r="G33" i="7"/>
  <c r="C33" i="7"/>
  <c r="B33" i="7"/>
  <c r="AZ16" i="7"/>
  <c r="BA16" i="7"/>
  <c r="BB16" i="7"/>
  <c r="AT16" i="2"/>
  <c r="AT31" i="2"/>
  <c r="AO16" i="6"/>
  <c r="AN16" i="6"/>
  <c r="AN32" i="6"/>
  <c r="AM16" i="6"/>
  <c r="AP16" i="6"/>
  <c r="AP32" i="6"/>
  <c r="AQ16" i="6"/>
  <c r="AQ32" i="6"/>
  <c r="AZ16" i="6"/>
  <c r="X16" i="6"/>
  <c r="X32" i="6"/>
  <c r="BA16" i="6"/>
  <c r="AV16" i="6"/>
  <c r="AY16" i="6"/>
  <c r="AY32" i="6"/>
  <c r="AW16" i="6"/>
  <c r="AW32" i="6"/>
  <c r="AD16" i="6"/>
  <c r="AD32" i="6"/>
  <c r="AB16" i="6"/>
  <c r="AT16" i="6"/>
  <c r="AT32" i="6"/>
  <c r="AR16" i="6"/>
  <c r="AI16" i="6"/>
  <c r="AH16" i="6"/>
  <c r="AH32" i="6"/>
  <c r="AG16" i="6"/>
  <c r="AF16" i="6"/>
  <c r="U16" i="6"/>
  <c r="BB16" i="6"/>
  <c r="AU16" i="6"/>
  <c r="AU32" i="6"/>
  <c r="AC16" i="6"/>
  <c r="AA16" i="6"/>
  <c r="AA32" i="6"/>
  <c r="Z16" i="6"/>
  <c r="Y16" i="6"/>
  <c r="W16" i="6"/>
  <c r="V16" i="6"/>
  <c r="AS16" i="6"/>
  <c r="AS32" i="6"/>
  <c r="AJ16" i="6"/>
  <c r="AJ32" i="6"/>
  <c r="AL16" i="6"/>
  <c r="AX16" i="6"/>
  <c r="AE31" i="2"/>
  <c r="AY31" i="6"/>
  <c r="AX31" i="6"/>
  <c r="AX32" i="6"/>
  <c r="AW31" i="6"/>
  <c r="AV31" i="6"/>
  <c r="AV32" i="6"/>
  <c r="AT31" i="6"/>
  <c r="AS31" i="6"/>
  <c r="AR31" i="6"/>
  <c r="AR32" i="6"/>
  <c r="AQ31" i="6"/>
  <c r="AP31" i="6"/>
  <c r="AO31" i="6"/>
  <c r="AO32" i="6"/>
  <c r="AN31" i="6"/>
  <c r="AM31" i="6"/>
  <c r="AM32" i="6"/>
  <c r="AL31" i="6"/>
  <c r="AL32" i="6"/>
  <c r="AK32" i="6"/>
  <c r="AJ31" i="6"/>
  <c r="AI31" i="6"/>
  <c r="AI32" i="6"/>
  <c r="AH31" i="6"/>
  <c r="AG31" i="6"/>
  <c r="AG32" i="6"/>
  <c r="AF31" i="6"/>
  <c r="AF32" i="6"/>
  <c r="AE32" i="6"/>
  <c r="AD31" i="6"/>
  <c r="AC31" i="6"/>
  <c r="AC32" i="6"/>
  <c r="AB31" i="6"/>
  <c r="AB32" i="6"/>
  <c r="AA31" i="6"/>
  <c r="Z31" i="6"/>
  <c r="Z32" i="6"/>
  <c r="Y31" i="6"/>
  <c r="W31" i="6"/>
  <c r="W32" i="6"/>
  <c r="V31" i="6"/>
  <c r="V32" i="6"/>
  <c r="U31" i="6"/>
  <c r="U32" i="6"/>
  <c r="T32" i="6"/>
  <c r="S16" i="6"/>
  <c r="S32" i="6"/>
  <c r="S31" i="6"/>
  <c r="R16" i="6"/>
  <c r="R32" i="6"/>
  <c r="R31" i="6"/>
  <c r="Q16" i="6"/>
  <c r="Q32" i="6"/>
  <c r="Q31" i="6"/>
  <c r="P16" i="6"/>
  <c r="P31" i="6"/>
  <c r="P32" i="6"/>
  <c r="O16" i="6"/>
  <c r="O31" i="6"/>
  <c r="O32" i="6"/>
  <c r="N16" i="6"/>
  <c r="N32" i="6"/>
  <c r="N31" i="6"/>
  <c r="M16" i="6"/>
  <c r="M32" i="6"/>
  <c r="M31" i="6"/>
  <c r="L16" i="6"/>
  <c r="L31" i="6"/>
  <c r="L32" i="6"/>
  <c r="K16" i="6"/>
  <c r="K32" i="6"/>
  <c r="K31" i="6"/>
  <c r="J32" i="6"/>
  <c r="I16" i="6"/>
  <c r="I31" i="6"/>
  <c r="I32" i="6"/>
  <c r="H16" i="6"/>
  <c r="H32" i="6"/>
  <c r="H31" i="6"/>
  <c r="G16" i="6"/>
  <c r="G32" i="6"/>
  <c r="F16" i="6"/>
  <c r="F31" i="6"/>
  <c r="F32" i="6"/>
  <c r="E16" i="6"/>
  <c r="E32" i="6"/>
  <c r="E31" i="6"/>
  <c r="D32" i="6"/>
  <c r="C16" i="6"/>
  <c r="C32" i="6"/>
  <c r="C31" i="6"/>
  <c r="B16" i="6"/>
  <c r="B32" i="6"/>
  <c r="B31" i="6"/>
  <c r="AU31" i="6"/>
  <c r="AK31" i="6"/>
  <c r="X31" i="6"/>
  <c r="T31" i="6"/>
  <c r="J31" i="6"/>
  <c r="G31" i="6"/>
  <c r="C16" i="1"/>
  <c r="C32" i="1"/>
  <c r="D16" i="1"/>
  <c r="D32" i="1"/>
  <c r="E16" i="1"/>
  <c r="F16" i="1"/>
  <c r="F32" i="1"/>
  <c r="G16" i="1"/>
  <c r="H16" i="1"/>
  <c r="I16" i="1"/>
  <c r="J16" i="1"/>
  <c r="K16" i="1"/>
  <c r="K32" i="1"/>
  <c r="L16" i="1"/>
  <c r="L32" i="1"/>
  <c r="M16" i="1"/>
  <c r="N16" i="1"/>
  <c r="N32" i="1"/>
  <c r="O16" i="1"/>
  <c r="P16" i="1"/>
  <c r="P32" i="1"/>
  <c r="Q16" i="1"/>
  <c r="Q32" i="1"/>
  <c r="R16" i="1"/>
  <c r="R32" i="1"/>
  <c r="S16" i="1"/>
  <c r="T16" i="1"/>
  <c r="T32" i="1"/>
  <c r="U16" i="1"/>
  <c r="U32" i="1"/>
  <c r="V16" i="1"/>
  <c r="V32" i="1"/>
  <c r="W16" i="1"/>
  <c r="W32" i="1"/>
  <c r="X16" i="1"/>
  <c r="X32" i="1"/>
  <c r="Y16" i="1"/>
  <c r="Z16" i="1"/>
  <c r="Z32" i="1"/>
  <c r="AA16" i="1"/>
  <c r="AA32" i="1"/>
  <c r="AB16" i="1"/>
  <c r="AB32" i="1"/>
  <c r="AC16" i="1"/>
  <c r="AC32" i="1"/>
  <c r="AD16" i="1"/>
  <c r="AE16" i="1"/>
  <c r="AF16" i="1"/>
  <c r="AF32" i="1"/>
  <c r="AG16" i="1"/>
  <c r="AH16" i="1"/>
  <c r="AI16" i="1"/>
  <c r="AJ16" i="1"/>
  <c r="AJ32" i="1"/>
  <c r="AK16" i="1"/>
  <c r="AK32" i="1"/>
  <c r="AL16" i="1"/>
  <c r="AM16" i="1"/>
  <c r="AN16" i="1"/>
  <c r="AO16" i="1"/>
  <c r="AP16" i="1"/>
  <c r="AP32" i="1"/>
  <c r="AQ16" i="1"/>
  <c r="AR16" i="1"/>
  <c r="AR32" i="1"/>
  <c r="AT16" i="1"/>
  <c r="AT32" i="1"/>
  <c r="AU16" i="1"/>
  <c r="AU32" i="1"/>
  <c r="AV16" i="1"/>
  <c r="AV32" i="1"/>
  <c r="AW16" i="1"/>
  <c r="AY16" i="1"/>
  <c r="B16" i="1"/>
  <c r="AE32" i="1"/>
  <c r="J32" i="1"/>
  <c r="AY31" i="1"/>
  <c r="AY32" i="1"/>
  <c r="AX31" i="1"/>
  <c r="AW31" i="1"/>
  <c r="AW32" i="1"/>
  <c r="AV31" i="1"/>
  <c r="AU31" i="1"/>
  <c r="AT31" i="1"/>
  <c r="AS31" i="1"/>
  <c r="AR31" i="1"/>
  <c r="AQ31" i="1"/>
  <c r="AQ32" i="1"/>
  <c r="AP31" i="1"/>
  <c r="AO31" i="1"/>
  <c r="AO32" i="1"/>
  <c r="AN31" i="1"/>
  <c r="AN32" i="1"/>
  <c r="AM31" i="1"/>
  <c r="AM32" i="1"/>
  <c r="AL31" i="1"/>
  <c r="AL32" i="1"/>
  <c r="AK31" i="1"/>
  <c r="AJ31" i="1"/>
  <c r="AI31" i="1"/>
  <c r="AI32" i="1"/>
  <c r="AH31" i="1"/>
  <c r="AH32" i="1"/>
  <c r="AG31" i="1"/>
  <c r="AG32" i="1"/>
  <c r="AF31" i="1"/>
  <c r="AD31" i="1"/>
  <c r="AD32" i="1"/>
  <c r="AC31" i="1"/>
  <c r="AB31" i="1"/>
  <c r="AA31" i="1"/>
  <c r="Z31" i="1"/>
  <c r="Y31" i="1"/>
  <c r="Y32" i="1"/>
  <c r="X31" i="1"/>
  <c r="W31" i="1"/>
  <c r="V31" i="1"/>
  <c r="U31" i="1"/>
  <c r="T31" i="1"/>
  <c r="S31" i="1"/>
  <c r="S32" i="1"/>
  <c r="R31" i="1"/>
  <c r="Q31" i="1"/>
  <c r="P31" i="1"/>
  <c r="O31" i="1"/>
  <c r="O32" i="1"/>
  <c r="N31" i="1"/>
  <c r="M31" i="1"/>
  <c r="M32" i="1"/>
  <c r="L31" i="1"/>
  <c r="K31" i="1"/>
  <c r="J31" i="1"/>
  <c r="I31" i="1"/>
  <c r="I32" i="1"/>
  <c r="H31" i="1"/>
  <c r="H32" i="1"/>
  <c r="G31" i="1"/>
  <c r="G32" i="1"/>
  <c r="F31" i="1"/>
  <c r="E31" i="1"/>
  <c r="E32" i="1"/>
  <c r="C31" i="1"/>
  <c r="B31" i="1"/>
  <c r="AV16" i="2"/>
  <c r="AV32" i="2"/>
  <c r="AZ16" i="2"/>
  <c r="AZ32" i="2"/>
  <c r="H16" i="2"/>
  <c r="H32" i="2"/>
  <c r="H31" i="2"/>
  <c r="I16" i="2"/>
  <c r="I31" i="2"/>
  <c r="I32" i="2"/>
  <c r="J32" i="2"/>
  <c r="K16" i="2"/>
  <c r="K32" i="2"/>
  <c r="K31" i="2"/>
  <c r="L16" i="2"/>
  <c r="L31" i="2"/>
  <c r="L32" i="2"/>
  <c r="M16" i="2"/>
  <c r="M32" i="2"/>
  <c r="M31" i="2"/>
  <c r="N16" i="2"/>
  <c r="N32" i="2"/>
  <c r="N31" i="2"/>
  <c r="O16" i="2"/>
  <c r="O31" i="2"/>
  <c r="O32" i="2"/>
  <c r="P16" i="2"/>
  <c r="P32" i="2"/>
  <c r="P31" i="2"/>
  <c r="Q16" i="2"/>
  <c r="Q32" i="2"/>
  <c r="Q31" i="2"/>
  <c r="R16" i="2"/>
  <c r="R32" i="2"/>
  <c r="R31" i="2"/>
  <c r="S16" i="2"/>
  <c r="S32" i="2"/>
  <c r="S31" i="2"/>
  <c r="T32" i="2"/>
  <c r="U16" i="2"/>
  <c r="U31" i="2"/>
  <c r="U32" i="2"/>
  <c r="V16" i="2"/>
  <c r="V32" i="2"/>
  <c r="V31" i="2"/>
  <c r="W16" i="2"/>
  <c r="W32" i="2"/>
  <c r="W31" i="2"/>
  <c r="X16" i="2"/>
  <c r="X32" i="2"/>
  <c r="Y16" i="2"/>
  <c r="Y32" i="2"/>
  <c r="Y31" i="2"/>
  <c r="Z16" i="2"/>
  <c r="Z32" i="2"/>
  <c r="Z31" i="2"/>
  <c r="AA16" i="2"/>
  <c r="AA32" i="2"/>
  <c r="AA31" i="2"/>
  <c r="AB16" i="2"/>
  <c r="AB32" i="2"/>
  <c r="AB31" i="2"/>
  <c r="AC16" i="2"/>
  <c r="AC31" i="2"/>
  <c r="AC32" i="2"/>
  <c r="AD16" i="2"/>
  <c r="AD32" i="2"/>
  <c r="AD31" i="2"/>
  <c r="AF16" i="2"/>
  <c r="AF32" i="2"/>
  <c r="AF31" i="2"/>
  <c r="AG16" i="2"/>
  <c r="AG31" i="2"/>
  <c r="AG32" i="2"/>
  <c r="AH16" i="2"/>
  <c r="AH32" i="2"/>
  <c r="AH31" i="2"/>
  <c r="AI16" i="2"/>
  <c r="AI32" i="2"/>
  <c r="AI31" i="2"/>
  <c r="AJ16" i="2"/>
  <c r="AJ32" i="2"/>
  <c r="AJ31" i="2"/>
  <c r="AK32" i="2"/>
  <c r="AL16" i="2"/>
  <c r="AL32" i="2"/>
  <c r="AL31" i="2"/>
  <c r="AM16" i="2"/>
  <c r="AM31" i="2"/>
  <c r="AM32" i="2"/>
  <c r="AN16" i="2"/>
  <c r="AN32" i="2"/>
  <c r="AN31" i="2"/>
  <c r="AO16" i="2"/>
  <c r="AO32" i="2"/>
  <c r="AO31" i="2"/>
  <c r="AP16" i="2"/>
  <c r="AP32" i="2"/>
  <c r="AP31" i="2"/>
  <c r="AQ16" i="2"/>
  <c r="AQ32" i="2"/>
  <c r="AQ31" i="2"/>
  <c r="AR16" i="2"/>
  <c r="AR31" i="2"/>
  <c r="AR32" i="2"/>
  <c r="AS16" i="2"/>
  <c r="AS32" i="2"/>
  <c r="AS31" i="2"/>
  <c r="AU16" i="2"/>
  <c r="AU32" i="2"/>
  <c r="AU31" i="2"/>
  <c r="AW16" i="2"/>
  <c r="AW31" i="2"/>
  <c r="AW32" i="2"/>
  <c r="AX16" i="2"/>
  <c r="AX32" i="2"/>
  <c r="AX31" i="2"/>
  <c r="AZ31" i="2"/>
  <c r="F16" i="2"/>
  <c r="F31" i="2"/>
  <c r="F32" i="2"/>
  <c r="E16" i="2"/>
  <c r="E32" i="2"/>
  <c r="E31" i="2"/>
  <c r="D32" i="2"/>
  <c r="C31" i="2"/>
  <c r="C32" i="2"/>
  <c r="C16" i="2"/>
  <c r="B16" i="2"/>
  <c r="B32" i="2"/>
  <c r="B31" i="2"/>
  <c r="G16" i="2"/>
  <c r="G32" i="2"/>
  <c r="AY16" i="5"/>
  <c r="AY32" i="5"/>
  <c r="AE31" i="5"/>
  <c r="M31" i="5"/>
  <c r="M32" i="5"/>
  <c r="AY31" i="5"/>
  <c r="AX16" i="5"/>
  <c r="AX31" i="5"/>
  <c r="AX32" i="5"/>
  <c r="AW16" i="5"/>
  <c r="AW32" i="5"/>
  <c r="AW31" i="5"/>
  <c r="AV16" i="5"/>
  <c r="AV31" i="5"/>
  <c r="AV32" i="5"/>
  <c r="AU16" i="5"/>
  <c r="AU31" i="5"/>
  <c r="AU32" i="5"/>
  <c r="AT16" i="5"/>
  <c r="AT31" i="5"/>
  <c r="AT32" i="5"/>
  <c r="AS16" i="5"/>
  <c r="AS31" i="5"/>
  <c r="AS32" i="5"/>
  <c r="AR16" i="5"/>
  <c r="AR31" i="5"/>
  <c r="AR32" i="5"/>
  <c r="AQ16" i="5"/>
  <c r="AQ31" i="5"/>
  <c r="AQ32" i="5"/>
  <c r="AP16" i="5"/>
  <c r="AP31" i="5"/>
  <c r="AP32" i="5"/>
  <c r="AO16" i="5"/>
  <c r="AO32" i="5"/>
  <c r="AO31" i="5"/>
  <c r="AN16" i="5"/>
  <c r="AN31" i="5"/>
  <c r="AN32" i="5"/>
  <c r="AM16" i="5"/>
  <c r="AM31" i="5"/>
  <c r="AM32" i="5"/>
  <c r="AL16" i="5"/>
  <c r="AL31" i="5"/>
  <c r="AL32" i="5"/>
  <c r="AK16" i="5"/>
  <c r="AK31" i="5"/>
  <c r="AK32" i="5"/>
  <c r="AJ16" i="5"/>
  <c r="AJ31" i="5"/>
  <c r="AJ32" i="5"/>
  <c r="AI16" i="5"/>
  <c r="AI31" i="5"/>
  <c r="AI32" i="5"/>
  <c r="AH16" i="5"/>
  <c r="AH31" i="5"/>
  <c r="AH32" i="5"/>
  <c r="AG16" i="5"/>
  <c r="AG32" i="5"/>
  <c r="AG31" i="5"/>
  <c r="AE16" i="5"/>
  <c r="AE32" i="5"/>
  <c r="AD16" i="5"/>
  <c r="AD31" i="5"/>
  <c r="AD32" i="5"/>
  <c r="AC16" i="5"/>
  <c r="AC32" i="5"/>
  <c r="AC31" i="5"/>
  <c r="AB16" i="5"/>
  <c r="AB31" i="5"/>
  <c r="AB32" i="5"/>
  <c r="AA16" i="5"/>
  <c r="AA31" i="5"/>
  <c r="AA32" i="5"/>
  <c r="Z16" i="5"/>
  <c r="Z31" i="5"/>
  <c r="Z32" i="5"/>
  <c r="Y16" i="5"/>
  <c r="Y31" i="5"/>
  <c r="Y32" i="5"/>
  <c r="X16" i="5"/>
  <c r="X31" i="5"/>
  <c r="X32" i="5"/>
  <c r="W31" i="5"/>
  <c r="W32" i="5"/>
  <c r="V16" i="5"/>
  <c r="V31" i="5"/>
  <c r="V32" i="5"/>
  <c r="U16" i="5"/>
  <c r="U31" i="5"/>
  <c r="U32" i="5"/>
  <c r="S16" i="5"/>
  <c r="S31" i="5"/>
  <c r="S32" i="5"/>
  <c r="Q16" i="5"/>
  <c r="Q31" i="5"/>
  <c r="Q32" i="5"/>
  <c r="P16" i="5"/>
  <c r="P31" i="5"/>
  <c r="P32" i="5"/>
  <c r="O16" i="5"/>
  <c r="O31" i="5"/>
  <c r="O32" i="5"/>
  <c r="N31" i="5"/>
  <c r="N32" i="5"/>
  <c r="M16" i="5"/>
  <c r="L16" i="5"/>
  <c r="L31" i="5"/>
  <c r="L32" i="5"/>
  <c r="K16" i="5"/>
  <c r="K31" i="5"/>
  <c r="K32" i="5"/>
  <c r="I16" i="5"/>
  <c r="I31" i="5"/>
  <c r="I32" i="5"/>
  <c r="H16" i="5"/>
  <c r="H31" i="5"/>
  <c r="H32" i="5"/>
  <c r="G16" i="5"/>
  <c r="G31" i="5"/>
  <c r="G32" i="5"/>
  <c r="F16" i="5"/>
  <c r="F31" i="5"/>
  <c r="F32" i="5"/>
  <c r="E16" i="5"/>
  <c r="E31" i="5"/>
  <c r="E32" i="5"/>
  <c r="D32" i="5"/>
  <c r="C16" i="5"/>
  <c r="C32" i="5"/>
  <c r="C31" i="5"/>
  <c r="AZ16" i="5"/>
  <c r="AF16" i="5"/>
  <c r="T16" i="5"/>
  <c r="R16" i="5"/>
  <c r="J16" i="5"/>
  <c r="J32" i="5"/>
  <c r="AF31" i="5"/>
  <c r="AF32" i="5"/>
  <c r="R31" i="5"/>
  <c r="R32" i="5"/>
  <c r="B31" i="5"/>
  <c r="B32" i="5"/>
  <c r="B16" i="5"/>
  <c r="T31" i="5"/>
  <c r="T32" i="5"/>
  <c r="J31" i="5"/>
  <c r="AY31" i="4"/>
  <c r="AX31" i="4"/>
  <c r="AW31" i="4"/>
  <c r="AV31" i="4"/>
  <c r="AU31" i="4"/>
  <c r="AU16" i="4"/>
  <c r="AT31" i="4"/>
  <c r="AS31" i="4"/>
  <c r="AR31" i="4"/>
  <c r="AQ31" i="4"/>
  <c r="AP31" i="4"/>
  <c r="AO31" i="4"/>
  <c r="AN31" i="4"/>
  <c r="AM31" i="4"/>
  <c r="AL31" i="4"/>
  <c r="AK31" i="4"/>
  <c r="AJ31" i="4"/>
  <c r="AK16" i="4"/>
  <c r="AI31" i="4"/>
  <c r="AI32" i="4"/>
  <c r="AH31" i="4"/>
  <c r="AH32" i="4"/>
  <c r="AG31" i="4"/>
  <c r="AG32" i="4"/>
  <c r="AF31" i="4"/>
  <c r="AD31" i="4"/>
  <c r="AE31" i="4"/>
  <c r="AE32" i="4"/>
  <c r="AC31" i="4"/>
  <c r="AC32" i="4"/>
  <c r="AX16" i="4"/>
  <c r="AW16" i="4"/>
  <c r="AV16" i="4"/>
  <c r="AT16" i="4"/>
  <c r="AS16" i="4"/>
  <c r="AR16" i="4"/>
  <c r="AQ16" i="4"/>
  <c r="AP16" i="4"/>
  <c r="AO16" i="4"/>
  <c r="AN16" i="4"/>
  <c r="AM16" i="4"/>
  <c r="AL16" i="4"/>
  <c r="AJ16" i="4"/>
  <c r="AI16" i="4"/>
  <c r="AH16" i="4"/>
  <c r="AG16" i="4"/>
  <c r="AF16" i="4"/>
  <c r="AF32" i="4"/>
  <c r="AD16" i="4"/>
  <c r="AD32" i="4"/>
  <c r="AC16" i="4"/>
  <c r="AB31" i="4"/>
  <c r="AB16" i="4"/>
  <c r="AB32" i="4"/>
  <c r="AA31" i="4"/>
  <c r="AA16" i="4"/>
  <c r="AA32" i="4"/>
  <c r="Z31" i="4"/>
  <c r="Z32" i="4"/>
  <c r="Z16" i="4"/>
  <c r="Y31" i="4"/>
  <c r="Y32" i="4"/>
  <c r="Y16" i="4"/>
  <c r="X31" i="4"/>
  <c r="X16" i="4"/>
  <c r="X32" i="4"/>
  <c r="W31" i="4"/>
  <c r="W32" i="4"/>
  <c r="V31" i="4"/>
  <c r="V32" i="4"/>
  <c r="V16" i="4"/>
  <c r="U31" i="4"/>
  <c r="U16" i="4"/>
  <c r="AZ16" i="4"/>
  <c r="S31" i="4"/>
  <c r="S32" i="4"/>
  <c r="S16" i="4"/>
  <c r="R31" i="4"/>
  <c r="R32" i="4"/>
  <c r="R16" i="4"/>
  <c r="Q31" i="4"/>
  <c r="Q32" i="4"/>
  <c r="Q16" i="4"/>
  <c r="P31" i="4"/>
  <c r="P16" i="4"/>
  <c r="P32" i="4"/>
  <c r="O31" i="4"/>
  <c r="O16" i="4"/>
  <c r="O32" i="4"/>
  <c r="N31" i="4"/>
  <c r="N32" i="4"/>
  <c r="N16" i="4"/>
  <c r="M31" i="4"/>
  <c r="M32" i="4"/>
  <c r="M16" i="4"/>
  <c r="L31" i="4"/>
  <c r="L16" i="4"/>
  <c r="L32" i="4"/>
  <c r="K31" i="4"/>
  <c r="K32" i="4"/>
  <c r="K16" i="4"/>
  <c r="I31" i="4"/>
  <c r="I32" i="4"/>
  <c r="I16" i="4"/>
  <c r="H31" i="4"/>
  <c r="H32" i="4"/>
  <c r="H16" i="4"/>
  <c r="G31" i="4"/>
  <c r="G32" i="4"/>
  <c r="F31" i="4"/>
  <c r="F32" i="4"/>
  <c r="E31" i="4"/>
  <c r="E16" i="4"/>
  <c r="E32" i="4"/>
  <c r="C31" i="4"/>
  <c r="C32" i="4"/>
  <c r="B31" i="4"/>
  <c r="B32" i="4"/>
  <c r="B16" i="4"/>
  <c r="T31" i="4"/>
  <c r="J31" i="4"/>
  <c r="W16" i="4"/>
  <c r="AY31" i="2"/>
  <c r="AY16" i="2"/>
  <c r="AY32" i="2"/>
  <c r="AV31" i="2"/>
  <c r="AK31" i="2"/>
  <c r="X31" i="2"/>
  <c r="T31" i="2"/>
  <c r="J31" i="2"/>
  <c r="G31" i="2"/>
  <c r="AX12" i="1"/>
  <c r="AX16" i="1"/>
  <c r="AX32" i="1"/>
  <c r="AS11" i="1"/>
  <c r="AS15" i="1"/>
  <c r="AS14" i="1"/>
  <c r="AS13" i="1"/>
  <c r="AS12" i="1"/>
  <c r="AS7" i="1"/>
  <c r="AS6" i="1"/>
  <c r="AS5" i="1"/>
  <c r="AS16" i="1"/>
  <c r="AS4" i="1"/>
  <c r="B32" i="1"/>
  <c r="AR34" i="7"/>
  <c r="AH34" i="7"/>
  <c r="K34" i="7"/>
  <c r="M34" i="7"/>
  <c r="E34" i="7"/>
  <c r="AA34" i="7"/>
  <c r="AO34" i="7"/>
  <c r="P34" i="7"/>
  <c r="Y32" i="6"/>
  <c r="AW34" i="7"/>
  <c r="I34" i="7"/>
  <c r="AL34" i="7"/>
  <c r="F34" i="7"/>
  <c r="BC17" i="7"/>
  <c r="V34" i="7"/>
  <c r="AB34" i="7"/>
  <c r="AP34" i="7"/>
  <c r="W34" i="7"/>
  <c r="AX34" i="7"/>
  <c r="BC16" i="7"/>
  <c r="AT34" i="8"/>
  <c r="V34" i="8"/>
  <c r="AY34" i="8"/>
  <c r="Y34" i="8"/>
  <c r="AB34" i="8"/>
  <c r="AW34" i="8"/>
  <c r="Q34" i="8"/>
  <c r="AP34" i="8"/>
  <c r="AF34" i="8"/>
  <c r="N34" i="8"/>
  <c r="U34" i="8"/>
  <c r="BC17" i="8"/>
  <c r="M34" i="8"/>
  <c r="AV34" i="8"/>
  <c r="BC16" i="8"/>
  <c r="H34" i="9"/>
  <c r="M34" i="9"/>
  <c r="AW34" i="9"/>
  <c r="AT34" i="9"/>
  <c r="N34" i="9"/>
  <c r="AH34" i="9"/>
  <c r="AG34" i="9"/>
  <c r="AR34" i="9"/>
  <c r="AO34" i="9"/>
  <c r="AP34" i="9"/>
  <c r="E34" i="9"/>
  <c r="F34" i="9"/>
  <c r="AB34" i="9"/>
  <c r="AM34" i="9"/>
  <c r="AL34" i="9"/>
  <c r="AV34" i="9"/>
  <c r="AY34" i="9"/>
  <c r="BC16" i="9"/>
  <c r="AF34" i="9"/>
  <c r="AW34" i="10"/>
  <c r="AJ34" i="10"/>
  <c r="AY34" i="10"/>
  <c r="AL34" i="10"/>
  <c r="AH34" i="10"/>
  <c r="F34" i="10"/>
  <c r="N34" i="10"/>
  <c r="AR34" i="10"/>
  <c r="AQ34" i="10"/>
  <c r="U34" i="10"/>
  <c r="AV34" i="10"/>
  <c r="K34" i="10"/>
  <c r="O34" i="10"/>
  <c r="H34" i="10"/>
  <c r="AD34" i="10"/>
  <c r="S34" i="10"/>
  <c r="Z34" i="10"/>
  <c r="AA34" i="10"/>
  <c r="AB34" i="10"/>
  <c r="BC15" i="10"/>
  <c r="M34" i="10"/>
  <c r="L34" i="10"/>
  <c r="BC16" i="10"/>
  <c r="V34" i="10"/>
  <c r="BC15" i="9"/>
  <c r="AC34" i="11"/>
  <c r="AR34" i="11"/>
  <c r="AD34" i="11"/>
  <c r="Y34" i="11"/>
  <c r="AX34" i="11"/>
  <c r="AW34" i="11"/>
  <c r="AM34" i="11"/>
  <c r="P34" i="11"/>
  <c r="AN34" i="11"/>
  <c r="AP34" i="11"/>
  <c r="AG34" i="11"/>
  <c r="C34" i="11"/>
  <c r="K34" i="11"/>
  <c r="AV34" i="11"/>
  <c r="AB34" i="11"/>
  <c r="Q34" i="11"/>
  <c r="BD16" i="11"/>
  <c r="U34" i="11"/>
  <c r="BD15" i="11"/>
  <c r="AL34" i="12"/>
  <c r="AQ34" i="12"/>
  <c r="E34" i="12"/>
  <c r="K34" i="12"/>
  <c r="F34" i="12"/>
  <c r="AP34" i="12"/>
  <c r="I34" i="12"/>
  <c r="AX34" i="12"/>
  <c r="D34" i="13"/>
  <c r="H34" i="12"/>
  <c r="N34" i="12"/>
  <c r="L34" i="12"/>
  <c r="AO34" i="12"/>
  <c r="AJ34" i="12"/>
  <c r="AV34" i="12"/>
  <c r="U34" i="12"/>
  <c r="W34" i="12"/>
  <c r="AY34" i="12"/>
  <c r="AH34" i="12"/>
  <c r="Q34" i="12"/>
  <c r="BE16" i="12"/>
  <c r="O34" i="12"/>
  <c r="AB34" i="12"/>
  <c r="Y34" i="12"/>
  <c r="R34" i="12"/>
  <c r="BE15" i="12"/>
  <c r="BD34" i="12"/>
  <c r="H34" i="13"/>
  <c r="AV34" i="13"/>
  <c r="N34" i="13"/>
  <c r="Y34" i="13"/>
  <c r="AS34" i="13"/>
  <c r="F34" i="13"/>
  <c r="AB34" i="13"/>
  <c r="AG34" i="13"/>
  <c r="Q34" i="13"/>
  <c r="AN34" i="13"/>
  <c r="AT34" i="13"/>
  <c r="V34" i="13"/>
  <c r="AC34" i="13"/>
  <c r="AP34" i="13"/>
  <c r="AQ34" i="13"/>
  <c r="I34" i="13"/>
  <c r="AW34" i="13"/>
  <c r="AL34" i="13"/>
  <c r="AY34" i="13"/>
  <c r="O34" i="13"/>
  <c r="S34" i="13"/>
  <c r="BD16" i="13"/>
  <c r="BE16" i="13"/>
  <c r="AO34" i="13"/>
  <c r="BD15" i="13"/>
  <c r="BE15" i="13"/>
  <c r="D34" i="14"/>
  <c r="AC34" i="14"/>
  <c r="O34" i="14"/>
  <c r="AV34" i="14"/>
  <c r="W34" i="14"/>
  <c r="AO34" i="14"/>
  <c r="AZ16" i="1"/>
  <c r="AS32" i="1"/>
  <c r="BF16" i="13"/>
  <c r="BA16" i="2"/>
  <c r="BC16" i="6"/>
  <c r="U32" i="4"/>
  <c r="BF15" i="13"/>
  <c r="R34" i="14"/>
  <c r="AG34" i="14"/>
  <c r="AH34" i="14"/>
  <c r="K34" i="14"/>
  <c r="U34" i="14"/>
  <c r="N34" i="14"/>
  <c r="AA34" i="14"/>
  <c r="AS34" i="14"/>
  <c r="F34" i="14"/>
  <c r="L34" i="14"/>
  <c r="Z34" i="14"/>
  <c r="AL34" i="14"/>
  <c r="C34" i="14"/>
  <c r="M34" i="14"/>
  <c r="AF34" i="14"/>
  <c r="AW34" i="14"/>
  <c r="AT34" i="14"/>
  <c r="E34" i="14"/>
  <c r="AR34" i="14"/>
  <c r="Y34" i="14"/>
  <c r="S34" i="14"/>
  <c r="AM34" i="14"/>
  <c r="AP34" i="14"/>
  <c r="AJ34" i="14"/>
  <c r="AQ34" i="14"/>
  <c r="AX34" i="14"/>
  <c r="AN34" i="14"/>
  <c r="AD34" i="14"/>
  <c r="AB34" i="14"/>
  <c r="U34" i="15"/>
  <c r="BE16" i="14"/>
  <c r="BF16" i="14"/>
  <c r="BE15" i="14"/>
  <c r="BF15" i="14"/>
  <c r="W34" i="15"/>
  <c r="H34" i="15"/>
  <c r="I34" i="15"/>
  <c r="Z34" i="15"/>
  <c r="K34" i="15"/>
  <c r="E34" i="15"/>
  <c r="AC34" i="15"/>
  <c r="AY34" i="15"/>
  <c r="S34" i="15"/>
  <c r="Y34" i="15"/>
  <c r="O34" i="15"/>
  <c r="V34" i="15"/>
  <c r="C34" i="15"/>
  <c r="R34" i="15"/>
  <c r="AT34" i="15"/>
  <c r="AD34" i="15"/>
  <c r="AX34" i="15"/>
  <c r="L34" i="15"/>
  <c r="AQ34" i="15"/>
  <c r="AS34" i="15"/>
  <c r="AA34" i="15"/>
  <c r="AM34" i="15"/>
  <c r="AW34" i="15"/>
  <c r="AF34" i="15"/>
  <c r="AN34" i="15"/>
  <c r="F34" i="15"/>
  <c r="AV34" i="15"/>
  <c r="N34" i="15"/>
  <c r="AB34" i="15"/>
  <c r="Q34" i="15"/>
  <c r="P34" i="15"/>
  <c r="AJ34" i="15"/>
  <c r="AP34" i="15"/>
  <c r="AR34" i="15"/>
  <c r="BD15" i="15"/>
  <c r="BE15" i="15"/>
  <c r="BF15" i="15"/>
  <c r="AH34" i="15"/>
  <c r="AO34" i="15"/>
  <c r="BD16" i="15"/>
  <c r="BF16" i="15"/>
  <c r="BE16" i="15"/>
  <c r="D34" i="16"/>
  <c r="AM34" i="16"/>
  <c r="AY34" i="16"/>
  <c r="Y34" i="16"/>
  <c r="Q34" i="16"/>
  <c r="U34" i="16"/>
  <c r="AP34" i="16"/>
  <c r="AW34" i="16"/>
  <c r="AR34" i="16"/>
  <c r="C34" i="16"/>
  <c r="AD34" i="16"/>
  <c r="AT34" i="16"/>
  <c r="X34" i="16"/>
  <c r="AO34" i="16"/>
  <c r="O34" i="16"/>
  <c r="P34" i="16"/>
  <c r="AL34" i="16"/>
  <c r="AH34" i="16"/>
  <c r="N34" i="16"/>
  <c r="AG34" i="16"/>
  <c r="K34" i="16"/>
  <c r="F34" i="16"/>
  <c r="AV34" i="16"/>
  <c r="I34" i="16"/>
  <c r="AN34" i="16"/>
  <c r="W34" i="16"/>
  <c r="V34" i="16"/>
  <c r="AA34" i="16"/>
  <c r="Z34" i="16"/>
  <c r="E34" i="16"/>
  <c r="BD15" i="16"/>
  <c r="BE15" i="16"/>
  <c r="BF15" i="16"/>
  <c r="AM34" i="17"/>
  <c r="BE16" i="16"/>
  <c r="BF16" i="16"/>
  <c r="L34" i="17"/>
  <c r="R34" i="17"/>
  <c r="Y34" i="17"/>
  <c r="Q34" i="17"/>
  <c r="AJ34" i="17"/>
  <c r="AT34" i="17"/>
  <c r="F34" i="17"/>
  <c r="AS34" i="17"/>
  <c r="AL34" i="17"/>
  <c r="AF34" i="17"/>
  <c r="AH34" i="17"/>
  <c r="H34" i="17"/>
  <c r="V34" i="17"/>
  <c r="K34" i="17"/>
  <c r="O34" i="17"/>
  <c r="AQ34" i="17"/>
  <c r="I34" i="17"/>
  <c r="AV34" i="17"/>
  <c r="AB34" i="17"/>
  <c r="N34" i="17"/>
  <c r="AN34" i="17"/>
  <c r="AV34" i="18"/>
  <c r="E34" i="17"/>
  <c r="I34" i="18"/>
  <c r="Z34" i="17"/>
  <c r="V34" i="18"/>
  <c r="AW34" i="18"/>
  <c r="AG34" i="18"/>
  <c r="R34" i="18"/>
  <c r="M34" i="18"/>
  <c r="Y34" i="18"/>
  <c r="AQ34" i="18"/>
  <c r="AP34" i="18"/>
  <c r="AN34" i="18"/>
  <c r="E34" i="18"/>
  <c r="K34" i="18"/>
  <c r="AL34" i="18"/>
  <c r="AA34" i="18"/>
  <c r="P34" i="18"/>
  <c r="S34" i="18"/>
  <c r="L34" i="18"/>
  <c r="AB34" i="18"/>
  <c r="AF34" i="18"/>
  <c r="K34" i="19"/>
  <c r="AW34" i="19"/>
  <c r="M34" i="19"/>
  <c r="AH34" i="19"/>
  <c r="Y34" i="19"/>
  <c r="R34" i="19"/>
  <c r="W34" i="19"/>
  <c r="I34" i="19"/>
  <c r="AM34" i="19"/>
  <c r="AD34" i="19"/>
  <c r="AP34" i="19"/>
  <c r="AQ34" i="19"/>
  <c r="AA34" i="19"/>
  <c r="AN34" i="19"/>
  <c r="AO34" i="19"/>
  <c r="O34" i="19"/>
  <c r="S34" i="19"/>
  <c r="U34" i="19"/>
</calcChain>
</file>

<file path=xl/comments1.xml><?xml version="1.0" encoding="utf-8"?>
<comments xmlns="http://schemas.openxmlformats.org/spreadsheetml/2006/main">
  <authors>
    <author>sherring</author>
  </authors>
  <commentList>
    <comment ref="C26" authorId="0" shapeId="0">
      <text>
        <r>
          <rPr>
            <b/>
            <sz val="8"/>
            <color indexed="81"/>
            <rFont val="Tahoma"/>
            <family val="2"/>
          </rPr>
          <t>sherring:</t>
        </r>
        <r>
          <rPr>
            <sz val="8"/>
            <color indexed="81"/>
            <rFont val="Tahoma"/>
            <family val="2"/>
          </rPr>
          <t xml:space="preserve">
8/1 13.72
8/31 30.14</t>
        </r>
      </text>
    </comment>
  </commentList>
</comments>
</file>

<file path=xl/comments2.xml><?xml version="1.0" encoding="utf-8"?>
<comments xmlns="http://schemas.openxmlformats.org/spreadsheetml/2006/main">
  <authors>
    <author>sherring</author>
  </authors>
  <commentList>
    <comment ref="C26" authorId="0" shapeId="0">
      <text>
        <r>
          <rPr>
            <b/>
            <sz val="8"/>
            <color indexed="81"/>
            <rFont val="Tahoma"/>
            <family val="2"/>
          </rPr>
          <t>sherring:</t>
        </r>
        <r>
          <rPr>
            <sz val="8"/>
            <color indexed="81"/>
            <rFont val="Tahoma"/>
            <family val="2"/>
          </rPr>
          <t xml:space="preserve">
8/1 13.72
8/31 30.14</t>
        </r>
      </text>
    </comment>
  </commentList>
</comments>
</file>

<file path=xl/comments3.xml><?xml version="1.0" encoding="utf-8"?>
<comments xmlns="http://schemas.openxmlformats.org/spreadsheetml/2006/main">
  <authors>
    <author>sherring</author>
  </authors>
  <commentList>
    <comment ref="F24" authorId="0" shapeId="0">
      <text>
        <r>
          <rPr>
            <b/>
            <sz val="8"/>
            <color indexed="81"/>
            <rFont val="Tahoma"/>
            <family val="2"/>
          </rPr>
          <t>sherring:</t>
        </r>
        <r>
          <rPr>
            <sz val="8"/>
            <color indexed="81"/>
            <rFont val="Tahoma"/>
            <family val="2"/>
          </rPr>
          <t xml:space="preserve">
CREDIT (133.78)</t>
        </r>
      </text>
    </comment>
  </commentList>
</comments>
</file>

<file path=xl/sharedStrings.xml><?xml version="1.0" encoding="utf-8"?>
<sst xmlns="http://schemas.openxmlformats.org/spreadsheetml/2006/main" count="2731" uniqueCount="154">
  <si>
    <t>NATURAL GAS (Mcf)</t>
  </si>
  <si>
    <t>ACCOUNT #</t>
  </si>
  <si>
    <t>245 424</t>
  </si>
  <si>
    <t>Newport</t>
  </si>
  <si>
    <t>Dumas</t>
  </si>
  <si>
    <t>Parkin</t>
  </si>
  <si>
    <t>Weiner</t>
  </si>
  <si>
    <t>Jnb 216 Gee</t>
  </si>
  <si>
    <t>Jnb Office</t>
  </si>
  <si>
    <t>Jnb 1218 Burke</t>
  </si>
  <si>
    <t>Stuttgart         102 S. College</t>
  </si>
  <si>
    <t>Stuttgart          120 E 2nd St</t>
  </si>
  <si>
    <t>Gillett   718 N Front ST</t>
  </si>
  <si>
    <t>Stg. Construction</t>
  </si>
  <si>
    <t>Stg.                     201  End St</t>
  </si>
  <si>
    <t>Stg Com Ops</t>
  </si>
  <si>
    <t>117 N Grand Drier 2 Stg</t>
  </si>
  <si>
    <t>117 Dennis St Wheatley</t>
  </si>
  <si>
    <t>133 Dennis St Wheatley</t>
  </si>
  <si>
    <t>Griffithville</t>
  </si>
  <si>
    <t>Altheimer</t>
  </si>
  <si>
    <t>216 S College</t>
  </si>
  <si>
    <t>404 S Grand</t>
  </si>
  <si>
    <t>2210   S Park Ave</t>
  </si>
  <si>
    <t>22nd St.</t>
  </si>
  <si>
    <t>Gillett</t>
  </si>
  <si>
    <t>McGehee</t>
  </si>
  <si>
    <t>Jackson Co.1 &amp; 2</t>
  </si>
  <si>
    <t>Tuckerman</t>
  </si>
  <si>
    <t>Waldenberg   (PB Plt)</t>
  </si>
  <si>
    <t>West Memphis</t>
  </si>
  <si>
    <t>Wheatley</t>
  </si>
  <si>
    <t>Lonoke</t>
  </si>
  <si>
    <t>Hickory Ridge</t>
  </si>
  <si>
    <t>Fair Oaks</t>
  </si>
  <si>
    <t>Corning</t>
  </si>
  <si>
    <t>Weiner N</t>
  </si>
  <si>
    <t>Wheatley Res</t>
  </si>
  <si>
    <t>Stuttgart Driee3</t>
  </si>
  <si>
    <t>WALDENBURG</t>
  </si>
  <si>
    <t>Jonesboro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</si>
  <si>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</si>
  <si>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</si>
  <si>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</si>
  <si>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</si>
  <si>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</si>
  <si>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</si>
  <si>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</si>
  <si>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</si>
  <si>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</si>
  <si>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</si>
  <si>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</si>
  <si>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</si>
  <si>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$Amount</t>
  </si>
  <si>
    <t>Totals</t>
  </si>
  <si>
    <t>Weiner Gr Dr (South)?</t>
  </si>
  <si>
    <t>Newport    Jackson Co #3</t>
  </si>
  <si>
    <t>Holly Grove</t>
  </si>
  <si>
    <r>
      <t>Totals-</t>
    </r>
    <r>
      <rPr>
        <b/>
        <sz val="10"/>
        <color indexed="10"/>
        <rFont val="Arial"/>
        <family val="2"/>
      </rPr>
      <t>Mcf</t>
    </r>
    <r>
      <rPr>
        <b/>
        <sz val="10"/>
        <rFont val="Arial"/>
        <family val="2"/>
      </rPr>
      <t xml:space="preserve"> </t>
    </r>
  </si>
  <si>
    <r>
      <t>JAN-</t>
    </r>
    <r>
      <rPr>
        <b/>
        <sz val="10"/>
        <color indexed="10"/>
        <rFont val="Arial"/>
        <family val="2"/>
      </rPr>
      <t xml:space="preserve">Ccf </t>
    </r>
  </si>
  <si>
    <t xml:space="preserve"> </t>
  </si>
  <si>
    <t xml:space="preserve">JAN-Ccf </t>
  </si>
  <si>
    <t xml:space="preserve">Totals-Mcf </t>
  </si>
  <si>
    <t>Stg.      Constru</t>
  </si>
  <si>
    <t>Meter #</t>
  </si>
  <si>
    <r>
      <t xml:space="preserve">Gillett   </t>
    </r>
    <r>
      <rPr>
        <b/>
        <sz val="8"/>
        <rFont val="Arial"/>
        <family val="2"/>
      </rPr>
      <t>718 N Front ST</t>
    </r>
  </si>
  <si>
    <t>Stuttgart          120 E         2nd St</t>
  </si>
  <si>
    <t>Jnb      1218 Burke</t>
  </si>
  <si>
    <t>Jnb       216 Gee</t>
  </si>
  <si>
    <t>Stg.                     201      End St</t>
  </si>
  <si>
    <t xml:space="preserve">Stuttgart 117 N Grand Drier 2 </t>
  </si>
  <si>
    <t xml:space="preserve">Wheatley117 Dennis St </t>
  </si>
  <si>
    <t xml:space="preserve">Wheatley 133 Dennis St </t>
  </si>
  <si>
    <t>Stuttgart 216 S College</t>
  </si>
  <si>
    <t>Stuttgart  404 S  Grand</t>
  </si>
  <si>
    <t>dumas</t>
  </si>
  <si>
    <t>corning</t>
  </si>
  <si>
    <t>newport</t>
  </si>
  <si>
    <t>CORNING</t>
  </si>
  <si>
    <t>DEWITT</t>
  </si>
  <si>
    <t>JONESBORO PLANT</t>
  </si>
  <si>
    <t>RICE STUTTGART PLANT</t>
  </si>
  <si>
    <t>SOY STUTTGART PLANT</t>
  </si>
  <si>
    <t>9985794-8</t>
  </si>
  <si>
    <t>WEINER</t>
  </si>
  <si>
    <t>JONESBORO</t>
  </si>
  <si>
    <t>waldenburg</t>
  </si>
  <si>
    <t>6402072329-8</t>
  </si>
  <si>
    <t>LITTLE ROCK</t>
  </si>
  <si>
    <t>6402138005-6</t>
  </si>
  <si>
    <t>ring</t>
  </si>
  <si>
    <t>6402975172-0</t>
  </si>
  <si>
    <t>1342205/21010226859</t>
  </si>
  <si>
    <t>1342205/210100226859</t>
  </si>
  <si>
    <t>3452105/210100385286</t>
  </si>
  <si>
    <t>1064052/210100314895</t>
  </si>
  <si>
    <t>6402138005-6/210100457321</t>
  </si>
  <si>
    <t>7519036/210100165746</t>
  </si>
  <si>
    <t>SOY STUTTGART PLANT/210100295476</t>
  </si>
  <si>
    <t>RICE STUTTGART PLANT/210100295498</t>
  </si>
  <si>
    <t>6402072329-8/21010504400</t>
  </si>
  <si>
    <t>687022/210100245061</t>
  </si>
  <si>
    <t>6400406302/210100415136</t>
  </si>
  <si>
    <t>637887/210100198777</t>
  </si>
  <si>
    <t>647598/210100280139</t>
  </si>
  <si>
    <t>637888/210100198795</t>
  </si>
  <si>
    <t>740882/210100284417</t>
  </si>
  <si>
    <t>740824/210100283814</t>
  </si>
  <si>
    <t>740838/210100283857</t>
  </si>
  <si>
    <t>637892/210100198958</t>
  </si>
  <si>
    <t>740876/210100284402</t>
  </si>
  <si>
    <t>637890/210100198943</t>
  </si>
  <si>
    <t>637889/210100198925</t>
  </si>
  <si>
    <t>741089/210100286590</t>
  </si>
  <si>
    <t>10511133/210100243721</t>
  </si>
  <si>
    <t>574126/210100174426</t>
  </si>
  <si>
    <t>539243/210100012700</t>
  </si>
  <si>
    <t>539246/210100012711</t>
  </si>
  <si>
    <t>33514/210100075419</t>
  </si>
  <si>
    <t>742815/210100302441</t>
  </si>
  <si>
    <t>742950/210100303725</t>
  </si>
  <si>
    <t>33513/210100075412</t>
  </si>
  <si>
    <t>245 424/210100278093</t>
  </si>
  <si>
    <t>740818/210100283657</t>
  </si>
  <si>
    <t>10471/210100004515</t>
  </si>
  <si>
    <t>749330/210100004464</t>
  </si>
  <si>
    <t>263691/210100020380</t>
  </si>
  <si>
    <t>263686/210100020352</t>
  </si>
  <si>
    <t>749325/210100004427</t>
  </si>
  <si>
    <t>687831/210100252296</t>
  </si>
  <si>
    <t>762803/210100053146</t>
  </si>
  <si>
    <t>869308/210100000471</t>
  </si>
  <si>
    <t>869309/210100000480</t>
  </si>
  <si>
    <t>869446/210100000653</t>
  </si>
  <si>
    <t>749334/210100004475</t>
  </si>
  <si>
    <t>672937/210100133615</t>
  </si>
  <si>
    <t>868849/210100306106</t>
  </si>
  <si>
    <t>869044/210100000159</t>
  </si>
  <si>
    <t>687023/210100245084</t>
  </si>
  <si>
    <t>888353/210100021755</t>
  </si>
  <si>
    <t>869127/210100000345</t>
  </si>
  <si>
    <t>9985794-8/210100334059</t>
  </si>
  <si>
    <t>8395898/210100295498</t>
  </si>
  <si>
    <t>8395895/210100295476</t>
  </si>
  <si>
    <t>888354/210100021767</t>
  </si>
  <si>
    <t>9224993/210100391591</t>
  </si>
  <si>
    <t>888355/210100021778</t>
  </si>
  <si>
    <t>JONES WAREHOUSE</t>
  </si>
  <si>
    <t>33513/210100075419</t>
  </si>
  <si>
    <t>33513/210100075412/20352</t>
  </si>
  <si>
    <t>2210 S PARK</t>
  </si>
  <si>
    <t>740876/210100892929/284402</t>
  </si>
  <si>
    <t>NEW ACCT NUMBER 2855.01</t>
  </si>
  <si>
    <t>NEW ACCT # 18MCF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</si>
</sst>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0.0"/>
    <numFmt numFmtId="166" formatCode="0_);\(0\)"/>
    <numFmt numFmtId="167" formatCode="&quot;$&quot;#,##0.000"/>
    <numFmt numFmtId="168" formatCode="_(* #,##0_);_(* \(#,##0\);_(* &quot;-&quot;??_);_(@_)"/>
    <numFmt numFmtId="169" formatCode="&quot;$&quot;#,##0.00"/>
    <numFmt numFmtId="170" formatCode="&quot;$&quot;#,##0.00;[Red]&quot;$&quot;#,##0.00"/>
    <numFmt numFmtId="171" formatCode="#,##0.0"/>
  </numFmts>
  <fonts count="2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6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0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quotePrefix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/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49" fontId="9" fillId="0" borderId="0" xfId="0" applyNumberFormat="1" applyFont="1" applyAlignment="1">
      <alignment horizontal="center" shrinkToFi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2" fillId="0" borderId="2" xfId="2" applyNumberFormat="1" applyFont="1" applyBorder="1" applyAlignment="1">
      <alignment horizontal="center"/>
    </xf>
    <xf numFmtId="37" fontId="0" fillId="0" borderId="0" xfId="2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44" fontId="3" fillId="0" borderId="0" xfId="2" applyFont="1"/>
    <xf numFmtId="168" fontId="0" fillId="0" borderId="1" xfId="1" applyNumberFormat="1" applyFont="1" applyBorder="1" applyAlignment="1">
      <alignment horizontal="center"/>
    </xf>
    <xf numFmtId="44" fontId="2" fillId="0" borderId="0" xfId="2" applyFont="1"/>
    <xf numFmtId="169" fontId="3" fillId="0" borderId="0" xfId="2" applyNumberFormat="1" applyFont="1" applyAlignment="1">
      <alignment horizontal="center"/>
    </xf>
    <xf numFmtId="44" fontId="2" fillId="0" borderId="0" xfId="2" applyFont="1" applyAlignment="1">
      <alignment horizontal="center"/>
    </xf>
    <xf numFmtId="169" fontId="0" fillId="0" borderId="2" xfId="2" applyNumberFormat="1" applyFon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169" fontId="0" fillId="0" borderId="2" xfId="0" applyNumberFormat="1" applyBorder="1"/>
    <xf numFmtId="44" fontId="0" fillId="0" borderId="2" xfId="0" applyNumberFormat="1" applyBorder="1"/>
    <xf numFmtId="170" fontId="0" fillId="0" borderId="2" xfId="0" applyNumberFormat="1" applyBorder="1"/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1" fontId="2" fillId="3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2" applyFont="1"/>
    <xf numFmtId="0" fontId="2" fillId="0" borderId="0" xfId="2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2" xfId="2" applyNumberFormat="1" applyFont="1" applyFill="1" applyBorder="1" applyAlignment="1">
      <alignment horizontal="center"/>
    </xf>
    <xf numFmtId="2" fontId="2" fillId="0" borderId="2" xfId="2" applyNumberFormat="1" applyFont="1" applyFill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7" fontId="2" fillId="0" borderId="2" xfId="0" applyNumberFormat="1" applyFont="1" applyBorder="1" applyAlignment="1">
      <alignment horizontal="center"/>
    </xf>
    <xf numFmtId="166" fontId="2" fillId="0" borderId="2" xfId="0" applyNumberFormat="1" applyFont="1" applyFill="1" applyBorder="1" applyAlignment="1">
      <alignment horizontal="center"/>
    </xf>
    <xf numFmtId="0" fontId="2" fillId="0" borderId="2" xfId="0" applyFont="1" applyBorder="1"/>
    <xf numFmtId="1" fontId="2" fillId="0" borderId="2" xfId="0" applyNumberFormat="1" applyFont="1" applyBorder="1"/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44" fontId="9" fillId="0" borderId="0" xfId="2" applyFont="1" applyAlignment="1"/>
    <xf numFmtId="165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71" fontId="2" fillId="0" borderId="2" xfId="0" applyNumberFormat="1" applyFont="1" applyBorder="1" applyAlignment="1">
      <alignment horizontal="center"/>
    </xf>
    <xf numFmtId="0" fontId="0" fillId="0" borderId="2" xfId="0" applyBorder="1"/>
    <xf numFmtId="49" fontId="4" fillId="0" borderId="1" xfId="0" applyNumberFormat="1" applyFont="1" applyBorder="1" applyAlignment="1">
      <alignment horizontal="center" shrinkToFit="1"/>
    </xf>
    <xf numFmtId="2" fontId="3" fillId="0" borderId="0" xfId="0" applyNumberFormat="1" applyFont="1"/>
    <xf numFmtId="2" fontId="13" fillId="0" borderId="0" xfId="0" applyNumberFormat="1" applyFont="1" applyAlignment="1">
      <alignment horizontal="center"/>
    </xf>
    <xf numFmtId="2" fontId="13" fillId="0" borderId="0" xfId="0" applyNumberFormat="1" applyFont="1"/>
    <xf numFmtId="2" fontId="3" fillId="2" borderId="0" xfId="0" applyNumberFormat="1" applyFont="1" applyFill="1" applyAlignment="1">
      <alignment horizontal="center"/>
    </xf>
    <xf numFmtId="166" fontId="2" fillId="2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8" fontId="0" fillId="2" borderId="1" xfId="1" applyNumberFormat="1" applyFont="1" applyFill="1" applyBorder="1" applyAlignment="1">
      <alignment horizontal="center"/>
    </xf>
    <xf numFmtId="44" fontId="2" fillId="2" borderId="0" xfId="2" applyFont="1" applyFill="1" applyAlignment="1">
      <alignment horizontal="center"/>
    </xf>
    <xf numFmtId="44" fontId="2" fillId="2" borderId="0" xfId="2" applyFont="1" applyFill="1" applyAlignment="1"/>
    <xf numFmtId="49" fontId="9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2" fillId="0" borderId="2" xfId="2" applyNumberFormat="1" applyFont="1" applyFill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2" fillId="0" borderId="2" xfId="2" applyNumberFormat="1" applyFont="1" applyBorder="1" applyAlignment="1">
      <alignment horizontal="right"/>
    </xf>
    <xf numFmtId="4" fontId="2" fillId="0" borderId="2" xfId="0" applyNumberFormat="1" applyFont="1" applyFill="1" applyBorder="1" applyAlignment="1">
      <alignment horizontal="right"/>
    </xf>
    <xf numFmtId="4" fontId="2" fillId="0" borderId="2" xfId="0" applyNumberFormat="1" applyFont="1" applyBorder="1"/>
    <xf numFmtId="4" fontId="2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1" xfId="2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8" fontId="2" fillId="0" borderId="0" xfId="0" applyNumberFormat="1" applyFont="1" applyAlignment="1">
      <alignment horizontal="center"/>
    </xf>
    <xf numFmtId="8" fontId="2" fillId="0" borderId="0" xfId="2" applyNumberFormat="1" applyFont="1"/>
    <xf numFmtId="8" fontId="3" fillId="0" borderId="0" xfId="2" applyNumberFormat="1" applyFont="1"/>
    <xf numFmtId="8" fontId="3" fillId="0" borderId="0" xfId="2" applyNumberFormat="1" applyFont="1" applyAlignment="1">
      <alignment horizontal="center"/>
    </xf>
    <xf numFmtId="8" fontId="9" fillId="0" borderId="0" xfId="2" applyNumberFormat="1" applyFont="1" applyAlignment="1"/>
    <xf numFmtId="8" fontId="2" fillId="0" borderId="0" xfId="2" applyNumberFormat="1" applyFont="1" applyAlignment="1">
      <alignment horizontal="center"/>
    </xf>
    <xf numFmtId="8" fontId="0" fillId="0" borderId="0" xfId="0" applyNumberFormat="1"/>
    <xf numFmtId="8" fontId="0" fillId="0" borderId="0" xfId="0" applyNumberFormat="1" applyAlignment="1">
      <alignment horizontal="center"/>
    </xf>
    <xf numFmtId="8" fontId="11" fillId="0" borderId="0" xfId="2" applyNumberFormat="1" applyFont="1"/>
    <xf numFmtId="8" fontId="12" fillId="0" borderId="0" xfId="2" applyNumberFormat="1" applyFont="1" applyAlignment="1"/>
    <xf numFmtId="8" fontId="2" fillId="0" borderId="2" xfId="2" applyNumberFormat="1" applyFont="1" applyFill="1" applyBorder="1" applyAlignment="1">
      <alignment horizontal="center"/>
    </xf>
    <xf numFmtId="8" fontId="2" fillId="0" borderId="2" xfId="0" applyNumberFormat="1" applyFont="1" applyBorder="1" applyAlignment="1">
      <alignment horizontal="center"/>
    </xf>
    <xf numFmtId="8" fontId="2" fillId="0" borderId="2" xfId="0" applyNumberFormat="1" applyFont="1" applyFill="1" applyBorder="1" applyAlignment="1">
      <alignment horizontal="center"/>
    </xf>
    <xf numFmtId="8" fontId="2" fillId="0" borderId="2" xfId="0" applyNumberFormat="1" applyFont="1" applyBorder="1"/>
    <xf numFmtId="8" fontId="2" fillId="0" borderId="0" xfId="0" applyNumberFormat="1" applyFont="1"/>
    <xf numFmtId="0" fontId="18" fillId="0" borderId="1" xfId="0" applyFont="1" applyBorder="1" applyAlignment="1">
      <alignment wrapText="1"/>
    </xf>
    <xf numFmtId="8" fontId="2" fillId="0" borderId="0" xfId="2" applyNumberFormat="1" applyFont="1" applyAlignment="1">
      <alignment horizontal="right"/>
    </xf>
    <xf numFmtId="8" fontId="2" fillId="0" borderId="2" xfId="0" applyNumberFormat="1" applyFont="1" applyBorder="1" applyAlignment="1">
      <alignment horizontal="right"/>
    </xf>
    <xf numFmtId="8" fontId="2" fillId="0" borderId="0" xfId="0" applyNumberFormat="1" applyFont="1" applyAlignment="1">
      <alignment horizontal="right"/>
    </xf>
    <xf numFmtId="0" fontId="10" fillId="0" borderId="1" xfId="0" applyFont="1" applyBorder="1" applyAlignment="1">
      <alignment horizontal="center" wrapText="1"/>
    </xf>
    <xf numFmtId="40" fontId="3" fillId="0" borderId="0" xfId="0" applyNumberFormat="1" applyFont="1" applyAlignment="1">
      <alignment horizontal="right"/>
    </xf>
    <xf numFmtId="40" fontId="2" fillId="0" borderId="0" xfId="0" applyNumberFormat="1" applyFont="1" applyAlignment="1">
      <alignment horizontal="right"/>
    </xf>
    <xf numFmtId="40" fontId="2" fillId="0" borderId="2" xfId="2" applyNumberFormat="1" applyFont="1" applyFill="1" applyBorder="1" applyAlignment="1">
      <alignment horizontal="right"/>
    </xf>
    <xf numFmtId="40" fontId="2" fillId="0" borderId="2" xfId="0" applyNumberFormat="1" applyFont="1" applyBorder="1" applyAlignment="1">
      <alignment horizontal="right"/>
    </xf>
    <xf numFmtId="8" fontId="2" fillId="0" borderId="2" xfId="2" applyNumberFormat="1" applyFont="1" applyFill="1" applyBorder="1" applyAlignment="1">
      <alignment horizontal="right"/>
    </xf>
    <xf numFmtId="8" fontId="9" fillId="0" borderId="0" xfId="2" applyNumberFormat="1" applyFont="1" applyAlignment="1">
      <alignment horizontal="right"/>
    </xf>
    <xf numFmtId="8" fontId="2" fillId="0" borderId="2" xfId="0" applyNumberFormat="1" applyFont="1" applyFill="1" applyBorder="1" applyAlignment="1">
      <alignment horizontal="right"/>
    </xf>
    <xf numFmtId="8" fontId="2" fillId="0" borderId="0" xfId="0" applyNumberFormat="1" applyFont="1" applyBorder="1"/>
    <xf numFmtId="4" fontId="2" fillId="0" borderId="0" xfId="2" applyNumberFormat="1" applyFont="1" applyFill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4" fontId="2" fillId="0" borderId="0" xfId="2" applyNumberFormat="1" applyFont="1" applyBorder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4" fontId="2" fillId="0" borderId="0" xfId="0" applyNumberFormat="1" applyFont="1" applyBorder="1"/>
    <xf numFmtId="1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3" borderId="0" xfId="0" applyNumberFormat="1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"/>
  <sheetViews>
    <sheetView topLeftCell="AD15" workbookViewId="0">
      <selection activeCell="AD20" sqref="A20:IV34"/>
    </sheetView>
  </sheetViews>
  <sheetFormatPr defaultRowHeight="12.75" x14ac:dyDescent="0.2"/>
  <cols>
    <col min="1" max="1" width="18" customWidth="1"/>
    <col min="34" max="34" width="12.140625" customWidth="1"/>
    <col min="39" max="39" width="10.85546875" customWidth="1"/>
    <col min="40" max="40" width="11.42578125" customWidth="1"/>
    <col min="41" max="41" width="11.28515625" customWidth="1"/>
    <col min="42" max="42" width="11" customWidth="1"/>
    <col min="53" max="53" width="11" customWidth="1"/>
    <col min="55" max="55" width="12.5703125" customWidth="1"/>
  </cols>
  <sheetData>
    <row r="1" spans="1:55" ht="12" customHeight="1" x14ac:dyDescent="0.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V1" s="3"/>
      <c r="X1" s="2"/>
      <c r="Y1" s="3"/>
      <c r="AA1" s="2"/>
      <c r="AB1" s="3"/>
      <c r="AD1" s="2"/>
      <c r="AE1" s="2"/>
      <c r="AF1" s="2"/>
      <c r="AG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5" x14ac:dyDescent="0.2">
      <c r="A2" s="1" t="s">
        <v>64</v>
      </c>
      <c r="B2" s="47">
        <v>594386</v>
      </c>
      <c r="C2" s="26">
        <v>1588956</v>
      </c>
      <c r="D2" s="26"/>
      <c r="E2" s="48">
        <v>33513</v>
      </c>
      <c r="F2" s="48">
        <v>33514</v>
      </c>
      <c r="G2" s="48">
        <v>105744</v>
      </c>
      <c r="H2" s="49">
        <v>263686</v>
      </c>
      <c r="I2" s="26">
        <v>263691</v>
      </c>
      <c r="J2" s="48">
        <v>263754</v>
      </c>
      <c r="K2" s="48">
        <v>539243</v>
      </c>
      <c r="L2" s="26">
        <v>539246</v>
      </c>
      <c r="M2" s="26">
        <v>574126</v>
      </c>
      <c r="N2" s="26">
        <v>637887</v>
      </c>
      <c r="O2" s="26">
        <v>637888</v>
      </c>
      <c r="P2" s="26">
        <v>637889</v>
      </c>
      <c r="Q2" s="26">
        <v>637890</v>
      </c>
      <c r="R2" s="26">
        <v>637892</v>
      </c>
      <c r="S2" s="26">
        <v>647598</v>
      </c>
      <c r="T2" s="26">
        <v>647856</v>
      </c>
      <c r="U2" s="26">
        <v>687022</v>
      </c>
      <c r="V2" s="26">
        <v>687023</v>
      </c>
      <c r="W2" s="26">
        <v>687831</v>
      </c>
      <c r="X2" s="26">
        <v>740818</v>
      </c>
      <c r="Y2" s="26">
        <v>740824</v>
      </c>
      <c r="Z2" s="26">
        <v>740838</v>
      </c>
      <c r="AA2" s="26">
        <v>740876</v>
      </c>
      <c r="AB2" s="26">
        <v>740882</v>
      </c>
      <c r="AC2" s="50">
        <v>741089</v>
      </c>
      <c r="AD2" s="50">
        <v>742815</v>
      </c>
      <c r="AE2" s="26">
        <v>742950</v>
      </c>
      <c r="AF2" s="50">
        <v>749325</v>
      </c>
      <c r="AG2" s="51">
        <v>749330</v>
      </c>
      <c r="AH2" s="50">
        <v>749334</v>
      </c>
      <c r="AI2" s="52">
        <v>749339</v>
      </c>
      <c r="AJ2" s="53">
        <v>762803</v>
      </c>
      <c r="AK2" s="54">
        <v>765933</v>
      </c>
      <c r="AL2" s="53">
        <v>868849</v>
      </c>
      <c r="AM2" s="53">
        <v>869044</v>
      </c>
      <c r="AN2" s="53">
        <v>869127</v>
      </c>
      <c r="AO2" s="53">
        <v>869308</v>
      </c>
      <c r="AP2" s="53">
        <v>869309</v>
      </c>
      <c r="AQ2" s="53">
        <v>869446</v>
      </c>
      <c r="AR2" s="53">
        <v>888353</v>
      </c>
      <c r="AS2" s="53">
        <v>888354</v>
      </c>
      <c r="AT2" s="53">
        <v>888355</v>
      </c>
      <c r="AU2" s="48">
        <v>1060882</v>
      </c>
      <c r="AV2" s="26">
        <v>1064052</v>
      </c>
      <c r="AW2" s="7" t="s">
        <v>2</v>
      </c>
      <c r="AX2" s="44">
        <v>672937</v>
      </c>
      <c r="AY2" s="7">
        <v>1342205</v>
      </c>
      <c r="AZ2" s="7">
        <v>3452105</v>
      </c>
      <c r="BA2" s="7">
        <v>9224993</v>
      </c>
      <c r="BB2" s="7">
        <v>10471</v>
      </c>
      <c r="BC2" s="1"/>
    </row>
    <row r="3" spans="1:55" ht="51" x14ac:dyDescent="0.2">
      <c r="A3" s="99">
        <v>2014</v>
      </c>
      <c r="B3" s="100" t="s">
        <v>3</v>
      </c>
      <c r="C3" s="100" t="s">
        <v>3</v>
      </c>
      <c r="D3" s="100" t="s">
        <v>3</v>
      </c>
      <c r="E3" s="101" t="s">
        <v>4</v>
      </c>
      <c r="F3" s="101" t="s">
        <v>4</v>
      </c>
      <c r="G3" s="101" t="s">
        <v>5</v>
      </c>
      <c r="H3" s="101" t="s">
        <v>6</v>
      </c>
      <c r="I3" s="101" t="s">
        <v>6</v>
      </c>
      <c r="J3" s="101" t="s">
        <v>6</v>
      </c>
      <c r="K3" s="101" t="s">
        <v>68</v>
      </c>
      <c r="L3" s="101" t="s">
        <v>8</v>
      </c>
      <c r="M3" s="101" t="s">
        <v>67</v>
      </c>
      <c r="N3" s="101" t="s">
        <v>10</v>
      </c>
      <c r="O3" s="101" t="s">
        <v>66</v>
      </c>
      <c r="P3" s="101" t="s">
        <v>65</v>
      </c>
      <c r="Q3" s="101" t="s">
        <v>63</v>
      </c>
      <c r="R3" s="101" t="s">
        <v>69</v>
      </c>
      <c r="S3" s="102" t="s">
        <v>15</v>
      </c>
      <c r="T3" s="101" t="s">
        <v>70</v>
      </c>
      <c r="U3" s="101" t="s">
        <v>71</v>
      </c>
      <c r="V3" s="101" t="s">
        <v>72</v>
      </c>
      <c r="W3" s="121" t="s">
        <v>19</v>
      </c>
      <c r="X3" s="101" t="s">
        <v>20</v>
      </c>
      <c r="Y3" s="101" t="s">
        <v>73</v>
      </c>
      <c r="Z3" s="101" t="s">
        <v>74</v>
      </c>
      <c r="AA3" s="102" t="s">
        <v>23</v>
      </c>
      <c r="AB3" s="101" t="s">
        <v>24</v>
      </c>
      <c r="AC3" s="101" t="s">
        <v>25</v>
      </c>
      <c r="AD3" s="101" t="s">
        <v>26</v>
      </c>
      <c r="AE3" s="101" t="s">
        <v>26</v>
      </c>
      <c r="AF3" s="101" t="s">
        <v>27</v>
      </c>
      <c r="AG3" s="101" t="s">
        <v>55</v>
      </c>
      <c r="AH3" s="101" t="s">
        <v>28</v>
      </c>
      <c r="AI3" s="103" t="s">
        <v>29</v>
      </c>
      <c r="AJ3" s="101" t="s">
        <v>19</v>
      </c>
      <c r="AK3" s="102" t="s">
        <v>30</v>
      </c>
      <c r="AL3" s="101" t="s">
        <v>4</v>
      </c>
      <c r="AM3" s="102" t="s">
        <v>31</v>
      </c>
      <c r="AN3" s="101" t="s">
        <v>32</v>
      </c>
      <c r="AO3" s="101" t="s">
        <v>5</v>
      </c>
      <c r="AP3" s="101" t="s">
        <v>33</v>
      </c>
      <c r="AQ3" s="101" t="s">
        <v>34</v>
      </c>
      <c r="AR3" s="101" t="s">
        <v>56</v>
      </c>
      <c r="AS3" s="101" t="s">
        <v>35</v>
      </c>
      <c r="AT3" s="101" t="s">
        <v>36</v>
      </c>
      <c r="AU3" s="101" t="s">
        <v>37</v>
      </c>
      <c r="AV3" s="104" t="s">
        <v>38</v>
      </c>
      <c r="AW3" s="85" t="s">
        <v>39</v>
      </c>
      <c r="AX3" s="104" t="s">
        <v>57</v>
      </c>
      <c r="AY3" s="104" t="s">
        <v>40</v>
      </c>
      <c r="AZ3" s="105" t="s">
        <v>75</v>
      </c>
      <c r="BA3" s="105" t="s">
        <v>76</v>
      </c>
      <c r="BB3" s="105" t="s">
        <v>77</v>
      </c>
      <c r="BC3" s="105"/>
    </row>
    <row r="4" spans="1:55" x14ac:dyDescent="0.2">
      <c r="A4" s="26" t="s">
        <v>59</v>
      </c>
      <c r="C4">
        <v>137</v>
      </c>
      <c r="E4">
        <v>38</v>
      </c>
      <c r="F4">
        <v>551</v>
      </c>
      <c r="H4">
        <v>332</v>
      </c>
      <c r="I4">
        <v>1281</v>
      </c>
      <c r="K4">
        <v>301</v>
      </c>
      <c r="L4">
        <v>9</v>
      </c>
      <c r="M4">
        <v>562</v>
      </c>
      <c r="N4">
        <v>142</v>
      </c>
      <c r="O4">
        <v>322</v>
      </c>
      <c r="P4">
        <v>54</v>
      </c>
      <c r="Q4">
        <v>941</v>
      </c>
      <c r="R4">
        <v>229</v>
      </c>
      <c r="S4">
        <v>1107</v>
      </c>
      <c r="U4">
        <v>8</v>
      </c>
      <c r="V4">
        <v>614</v>
      </c>
      <c r="W4">
        <v>7</v>
      </c>
      <c r="X4">
        <v>0</v>
      </c>
      <c r="Y4">
        <v>1969</v>
      </c>
      <c r="Z4">
        <v>460</v>
      </c>
      <c r="AA4">
        <v>6449</v>
      </c>
      <c r="AB4">
        <v>3568</v>
      </c>
      <c r="AC4">
        <v>50</v>
      </c>
      <c r="AD4">
        <v>0</v>
      </c>
      <c r="AE4">
        <v>288</v>
      </c>
      <c r="AF4">
        <v>202</v>
      </c>
      <c r="AG4">
        <v>1098</v>
      </c>
      <c r="AH4">
        <v>943</v>
      </c>
      <c r="AJ4">
        <v>382</v>
      </c>
      <c r="AL4">
        <v>1000</v>
      </c>
      <c r="AM4">
        <v>64</v>
      </c>
      <c r="AN4">
        <v>808</v>
      </c>
      <c r="AO4">
        <v>154</v>
      </c>
      <c r="AP4">
        <v>0</v>
      </c>
      <c r="AQ4">
        <v>2391</v>
      </c>
      <c r="AR4">
        <v>0</v>
      </c>
      <c r="AS4">
        <v>2307</v>
      </c>
      <c r="AT4">
        <v>1539</v>
      </c>
      <c r="AU4">
        <v>0</v>
      </c>
      <c r="AV4">
        <v>1</v>
      </c>
      <c r="AW4">
        <v>223</v>
      </c>
      <c r="AX4">
        <v>0</v>
      </c>
      <c r="AY4">
        <v>625</v>
      </c>
      <c r="AZ4">
        <v>0</v>
      </c>
      <c r="BA4">
        <v>994</v>
      </c>
      <c r="BB4">
        <v>217</v>
      </c>
    </row>
    <row r="5" spans="1:55" x14ac:dyDescent="0.2">
      <c r="A5" s="25" t="s">
        <v>42</v>
      </c>
      <c r="C5">
        <v>156</v>
      </c>
      <c r="E5">
        <v>25</v>
      </c>
      <c r="F5">
        <v>233</v>
      </c>
      <c r="H5">
        <v>151</v>
      </c>
      <c r="I5">
        <v>858</v>
      </c>
      <c r="K5">
        <v>268</v>
      </c>
      <c r="L5">
        <v>9</v>
      </c>
      <c r="M5">
        <v>486</v>
      </c>
      <c r="N5">
        <v>143</v>
      </c>
      <c r="O5">
        <v>234</v>
      </c>
      <c r="P5">
        <v>65</v>
      </c>
      <c r="Q5">
        <v>947</v>
      </c>
      <c r="R5">
        <v>170</v>
      </c>
      <c r="S5">
        <v>873</v>
      </c>
      <c r="U5">
        <v>5</v>
      </c>
      <c r="V5">
        <v>0</v>
      </c>
      <c r="W5">
        <v>6</v>
      </c>
      <c r="X5">
        <v>0</v>
      </c>
      <c r="Y5">
        <v>1558</v>
      </c>
      <c r="Z5">
        <v>449</v>
      </c>
      <c r="AA5">
        <v>5624</v>
      </c>
      <c r="AB5">
        <v>4217</v>
      </c>
      <c r="AC5">
        <v>44</v>
      </c>
      <c r="AD5">
        <v>0</v>
      </c>
      <c r="AE5">
        <v>113</v>
      </c>
      <c r="AF5">
        <v>0</v>
      </c>
      <c r="AG5">
        <v>2076</v>
      </c>
      <c r="AH5">
        <v>0</v>
      </c>
      <c r="AJ5">
        <v>255</v>
      </c>
      <c r="AL5">
        <v>702</v>
      </c>
      <c r="AM5">
        <v>0</v>
      </c>
      <c r="AN5">
        <v>492</v>
      </c>
      <c r="AO5">
        <v>160</v>
      </c>
      <c r="AP5">
        <v>0</v>
      </c>
      <c r="AQ5">
        <v>530</v>
      </c>
      <c r="AR5">
        <v>0</v>
      </c>
      <c r="AS5">
        <v>307</v>
      </c>
      <c r="AT5">
        <v>1782</v>
      </c>
      <c r="AU5">
        <v>0</v>
      </c>
      <c r="AV5">
        <v>0</v>
      </c>
      <c r="AW5">
        <v>172</v>
      </c>
      <c r="AX5">
        <v>0</v>
      </c>
      <c r="AY5">
        <v>551</v>
      </c>
      <c r="AZ5">
        <v>3</v>
      </c>
      <c r="BA5">
        <v>166</v>
      </c>
      <c r="BB5">
        <v>201</v>
      </c>
    </row>
    <row r="6" spans="1:55" x14ac:dyDescent="0.2">
      <c r="A6" s="25" t="s">
        <v>43</v>
      </c>
      <c r="C6">
        <v>91</v>
      </c>
      <c r="E6">
        <v>32</v>
      </c>
      <c r="F6">
        <v>187</v>
      </c>
      <c r="H6">
        <v>139</v>
      </c>
      <c r="I6">
        <v>178</v>
      </c>
      <c r="K6">
        <v>161</v>
      </c>
      <c r="L6">
        <v>9</v>
      </c>
      <c r="M6">
        <v>257</v>
      </c>
      <c r="N6">
        <v>90</v>
      </c>
      <c r="O6">
        <v>96</v>
      </c>
      <c r="P6">
        <v>37</v>
      </c>
      <c r="Q6">
        <v>551</v>
      </c>
      <c r="R6">
        <v>144</v>
      </c>
      <c r="S6">
        <v>618</v>
      </c>
      <c r="U6">
        <v>13</v>
      </c>
      <c r="V6">
        <v>368</v>
      </c>
      <c r="W6">
        <v>5</v>
      </c>
      <c r="X6">
        <v>0</v>
      </c>
      <c r="Y6">
        <v>1200</v>
      </c>
      <c r="Z6">
        <v>235</v>
      </c>
      <c r="AA6">
        <v>4073</v>
      </c>
      <c r="AB6">
        <v>3269</v>
      </c>
      <c r="AC6">
        <v>9</v>
      </c>
      <c r="AD6">
        <v>0</v>
      </c>
      <c r="AE6">
        <v>279</v>
      </c>
      <c r="AF6">
        <v>0</v>
      </c>
      <c r="AG6">
        <v>5</v>
      </c>
      <c r="AH6">
        <v>0</v>
      </c>
      <c r="AJ6">
        <v>1723</v>
      </c>
      <c r="AL6">
        <v>811</v>
      </c>
      <c r="AM6">
        <v>2313</v>
      </c>
      <c r="AN6">
        <v>315</v>
      </c>
      <c r="AO6">
        <v>198</v>
      </c>
      <c r="AP6">
        <v>3</v>
      </c>
      <c r="AQ6">
        <v>475</v>
      </c>
      <c r="AR6">
        <v>0</v>
      </c>
      <c r="AS6">
        <v>150</v>
      </c>
      <c r="AT6">
        <v>5</v>
      </c>
      <c r="AU6">
        <v>0</v>
      </c>
      <c r="AV6">
        <v>1</v>
      </c>
      <c r="AW6">
        <v>66</v>
      </c>
      <c r="AX6">
        <v>0</v>
      </c>
      <c r="AY6">
        <v>351</v>
      </c>
      <c r="AZ6">
        <v>0</v>
      </c>
      <c r="BA6">
        <v>2170</v>
      </c>
      <c r="BB6">
        <v>159</v>
      </c>
    </row>
    <row r="7" spans="1:55" x14ac:dyDescent="0.2">
      <c r="A7" s="25" t="s">
        <v>44</v>
      </c>
      <c r="C7">
        <v>8</v>
      </c>
      <c r="E7">
        <v>23</v>
      </c>
      <c r="F7">
        <v>33</v>
      </c>
      <c r="H7">
        <v>3</v>
      </c>
      <c r="I7">
        <v>108</v>
      </c>
      <c r="K7">
        <v>30</v>
      </c>
      <c r="L7">
        <v>8</v>
      </c>
      <c r="M7">
        <v>37</v>
      </c>
      <c r="N7">
        <v>11</v>
      </c>
      <c r="O7">
        <v>21</v>
      </c>
      <c r="P7">
        <v>21</v>
      </c>
      <c r="Q7">
        <v>233</v>
      </c>
      <c r="R7">
        <v>88</v>
      </c>
      <c r="S7">
        <v>80</v>
      </c>
      <c r="U7">
        <v>7</v>
      </c>
      <c r="V7">
        <v>92</v>
      </c>
      <c r="W7">
        <v>8</v>
      </c>
      <c r="X7">
        <v>0</v>
      </c>
      <c r="Y7">
        <v>300</v>
      </c>
      <c r="Z7">
        <v>25</v>
      </c>
      <c r="AA7">
        <v>1496</v>
      </c>
      <c r="AB7">
        <v>2487</v>
      </c>
      <c r="AC7">
        <v>31</v>
      </c>
      <c r="AD7">
        <v>0</v>
      </c>
      <c r="AE7">
        <v>48</v>
      </c>
      <c r="AF7">
        <v>0</v>
      </c>
      <c r="AG7">
        <v>26</v>
      </c>
      <c r="AH7">
        <v>0</v>
      </c>
      <c r="AJ7">
        <v>2021</v>
      </c>
      <c r="AL7">
        <v>488</v>
      </c>
      <c r="AM7">
        <v>14</v>
      </c>
      <c r="AN7">
        <v>87</v>
      </c>
      <c r="AO7">
        <v>373</v>
      </c>
      <c r="AP7">
        <v>2</v>
      </c>
      <c r="AQ7">
        <v>434</v>
      </c>
      <c r="AR7">
        <v>0</v>
      </c>
      <c r="AS7">
        <v>106</v>
      </c>
      <c r="AT7">
        <v>0</v>
      </c>
      <c r="AU7">
        <v>0</v>
      </c>
      <c r="AV7">
        <v>1</v>
      </c>
      <c r="AW7">
        <v>13</v>
      </c>
      <c r="AX7">
        <v>0</v>
      </c>
      <c r="AY7">
        <v>89</v>
      </c>
      <c r="AZ7">
        <v>0</v>
      </c>
      <c r="BA7">
        <v>1251</v>
      </c>
      <c r="BB7">
        <v>1</v>
      </c>
    </row>
    <row r="8" spans="1:55" x14ac:dyDescent="0.2">
      <c r="A8" s="25" t="s">
        <v>45</v>
      </c>
      <c r="C8">
        <v>8</v>
      </c>
      <c r="E8">
        <v>24</v>
      </c>
      <c r="F8">
        <v>19</v>
      </c>
      <c r="H8">
        <v>13</v>
      </c>
      <c r="I8">
        <v>36</v>
      </c>
      <c r="K8">
        <v>4</v>
      </c>
      <c r="L8">
        <v>5</v>
      </c>
      <c r="M8">
        <v>7</v>
      </c>
      <c r="N8">
        <v>4</v>
      </c>
      <c r="O8">
        <v>4</v>
      </c>
      <c r="P8">
        <v>7</v>
      </c>
      <c r="Q8">
        <v>34</v>
      </c>
      <c r="R8">
        <v>14</v>
      </c>
      <c r="S8">
        <v>3</v>
      </c>
      <c r="U8">
        <v>5</v>
      </c>
      <c r="V8">
        <v>18</v>
      </c>
      <c r="W8">
        <v>0</v>
      </c>
      <c r="X8">
        <v>0</v>
      </c>
      <c r="Y8">
        <v>40</v>
      </c>
      <c r="Z8">
        <v>1</v>
      </c>
      <c r="AA8">
        <v>497</v>
      </c>
      <c r="AB8">
        <v>1313</v>
      </c>
      <c r="AC8">
        <v>0</v>
      </c>
      <c r="AD8">
        <v>11</v>
      </c>
      <c r="AE8">
        <v>29</v>
      </c>
      <c r="AF8">
        <v>0</v>
      </c>
      <c r="AG8">
        <v>29</v>
      </c>
      <c r="AH8">
        <v>0</v>
      </c>
      <c r="AJ8">
        <v>68</v>
      </c>
      <c r="AL8">
        <v>384</v>
      </c>
      <c r="AM8">
        <v>0</v>
      </c>
      <c r="AN8">
        <v>26</v>
      </c>
      <c r="AO8">
        <v>331</v>
      </c>
      <c r="AP8">
        <v>0</v>
      </c>
      <c r="AQ8">
        <v>239</v>
      </c>
      <c r="AR8">
        <v>0</v>
      </c>
      <c r="AS8">
        <v>2</v>
      </c>
      <c r="AT8">
        <v>4</v>
      </c>
      <c r="AU8">
        <v>0</v>
      </c>
      <c r="AV8">
        <v>0</v>
      </c>
      <c r="AW8">
        <v>1</v>
      </c>
      <c r="AX8">
        <v>0</v>
      </c>
      <c r="AY8">
        <v>19</v>
      </c>
      <c r="AZ8">
        <v>5</v>
      </c>
      <c r="BA8">
        <v>110</v>
      </c>
      <c r="BB8">
        <v>40</v>
      </c>
    </row>
    <row r="9" spans="1:55" x14ac:dyDescent="0.2">
      <c r="A9" s="25" t="s">
        <v>46</v>
      </c>
      <c r="C9">
        <v>7</v>
      </c>
      <c r="E9">
        <v>19</v>
      </c>
      <c r="F9">
        <v>12</v>
      </c>
      <c r="H9">
        <v>7</v>
      </c>
      <c r="I9">
        <v>15</v>
      </c>
      <c r="K9">
        <v>0</v>
      </c>
      <c r="L9">
        <v>6</v>
      </c>
      <c r="M9">
        <v>7</v>
      </c>
      <c r="N9">
        <v>6</v>
      </c>
      <c r="O9">
        <v>0</v>
      </c>
      <c r="P9">
        <v>5</v>
      </c>
      <c r="Q9">
        <v>1</v>
      </c>
      <c r="R9">
        <v>4</v>
      </c>
      <c r="S9">
        <v>1</v>
      </c>
      <c r="U9">
        <v>7</v>
      </c>
      <c r="V9">
        <v>5</v>
      </c>
      <c r="W9">
        <v>0</v>
      </c>
      <c r="X9">
        <v>0</v>
      </c>
      <c r="Y9">
        <v>22</v>
      </c>
      <c r="Z9">
        <v>0</v>
      </c>
      <c r="AA9">
        <v>205</v>
      </c>
      <c r="AB9">
        <v>517</v>
      </c>
      <c r="AC9">
        <v>0</v>
      </c>
      <c r="AD9">
        <v>189</v>
      </c>
      <c r="AE9">
        <v>18</v>
      </c>
      <c r="AF9">
        <v>0</v>
      </c>
      <c r="AG9">
        <v>0</v>
      </c>
      <c r="AH9">
        <v>0</v>
      </c>
      <c r="AJ9">
        <v>0</v>
      </c>
      <c r="AL9">
        <v>24</v>
      </c>
      <c r="AM9">
        <v>539</v>
      </c>
      <c r="AN9">
        <v>210</v>
      </c>
      <c r="AO9">
        <v>3</v>
      </c>
      <c r="AP9">
        <v>0</v>
      </c>
      <c r="AQ9">
        <v>112</v>
      </c>
      <c r="AR9">
        <v>0</v>
      </c>
      <c r="AS9">
        <v>0</v>
      </c>
      <c r="AT9">
        <v>2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34</v>
      </c>
      <c r="BB9">
        <v>7</v>
      </c>
    </row>
    <row r="10" spans="1:55" x14ac:dyDescent="0.2">
      <c r="A10" s="25" t="s">
        <v>47</v>
      </c>
      <c r="C10">
        <v>8</v>
      </c>
      <c r="E10">
        <v>18</v>
      </c>
      <c r="F10">
        <v>4</v>
      </c>
      <c r="H10">
        <v>6</v>
      </c>
      <c r="I10">
        <v>10</v>
      </c>
      <c r="K10">
        <v>0</v>
      </c>
      <c r="L10">
        <v>4</v>
      </c>
      <c r="M10">
        <v>7</v>
      </c>
      <c r="N10">
        <v>7</v>
      </c>
      <c r="O10">
        <v>0</v>
      </c>
      <c r="P10">
        <v>2</v>
      </c>
      <c r="Q10">
        <v>0</v>
      </c>
      <c r="R10">
        <v>3</v>
      </c>
      <c r="S10">
        <v>1</v>
      </c>
      <c r="U10">
        <v>6</v>
      </c>
      <c r="V10">
        <v>5</v>
      </c>
      <c r="W10">
        <v>0</v>
      </c>
      <c r="X10">
        <v>0</v>
      </c>
      <c r="Y10">
        <v>22</v>
      </c>
      <c r="Z10">
        <v>1</v>
      </c>
      <c r="AA10">
        <v>215</v>
      </c>
      <c r="AB10">
        <v>841</v>
      </c>
      <c r="AC10">
        <v>0</v>
      </c>
      <c r="AD10">
        <v>0</v>
      </c>
      <c r="AE10">
        <v>21</v>
      </c>
      <c r="AF10">
        <v>0</v>
      </c>
      <c r="AG10">
        <v>389</v>
      </c>
      <c r="AH10">
        <v>318</v>
      </c>
      <c r="AJ10">
        <v>1</v>
      </c>
      <c r="AL10">
        <v>154</v>
      </c>
      <c r="AM10">
        <v>1252</v>
      </c>
      <c r="AN10">
        <v>7</v>
      </c>
      <c r="AO10">
        <v>18</v>
      </c>
      <c r="AP10">
        <v>0</v>
      </c>
      <c r="AQ10">
        <v>166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21</v>
      </c>
      <c r="BB10">
        <v>7</v>
      </c>
    </row>
    <row r="11" spans="1:55" x14ac:dyDescent="0.2">
      <c r="A11" s="25" t="s">
        <v>48</v>
      </c>
      <c r="C11">
        <v>18</v>
      </c>
      <c r="E11">
        <v>15</v>
      </c>
      <c r="F11">
        <v>0</v>
      </c>
      <c r="H11">
        <v>8</v>
      </c>
      <c r="I11">
        <v>13</v>
      </c>
      <c r="K11">
        <v>0</v>
      </c>
      <c r="L11">
        <v>3</v>
      </c>
      <c r="M11">
        <v>7</v>
      </c>
      <c r="N11">
        <v>7</v>
      </c>
      <c r="O11">
        <v>0</v>
      </c>
      <c r="P11">
        <v>28</v>
      </c>
      <c r="Q11">
        <v>1</v>
      </c>
      <c r="R11">
        <v>4</v>
      </c>
      <c r="S11">
        <v>15</v>
      </c>
      <c r="U11">
        <v>6</v>
      </c>
      <c r="V11">
        <v>5</v>
      </c>
      <c r="W11">
        <v>3</v>
      </c>
      <c r="X11">
        <v>0</v>
      </c>
      <c r="Y11">
        <v>23</v>
      </c>
      <c r="Z11">
        <v>0</v>
      </c>
      <c r="AA11">
        <v>215</v>
      </c>
      <c r="AB11">
        <v>1558</v>
      </c>
      <c r="AC11">
        <v>4221</v>
      </c>
      <c r="AD11">
        <v>1206</v>
      </c>
      <c r="AE11">
        <v>24</v>
      </c>
      <c r="AF11">
        <v>13</v>
      </c>
      <c r="AG11">
        <v>40</v>
      </c>
      <c r="AH11">
        <v>8</v>
      </c>
      <c r="AJ11">
        <v>6960</v>
      </c>
      <c r="AL11">
        <v>684</v>
      </c>
      <c r="AM11">
        <v>10232</v>
      </c>
      <c r="AN11">
        <v>1861</v>
      </c>
      <c r="AO11">
        <v>8436</v>
      </c>
      <c r="AP11">
        <v>11</v>
      </c>
      <c r="AQ11">
        <v>115</v>
      </c>
      <c r="AR11">
        <v>7</v>
      </c>
      <c r="AS11">
        <v>104</v>
      </c>
      <c r="AT11">
        <v>6</v>
      </c>
      <c r="AU11">
        <v>0</v>
      </c>
      <c r="AV11">
        <v>15</v>
      </c>
      <c r="AW11">
        <v>1</v>
      </c>
      <c r="AX11">
        <v>9</v>
      </c>
      <c r="AY11">
        <v>0</v>
      </c>
      <c r="AZ11">
        <v>0</v>
      </c>
      <c r="BA11">
        <v>45</v>
      </c>
      <c r="BB11">
        <v>7</v>
      </c>
    </row>
    <row r="12" spans="1:55" x14ac:dyDescent="0.2">
      <c r="A12" s="25" t="s">
        <v>49</v>
      </c>
      <c r="C12">
        <v>20</v>
      </c>
      <c r="E12">
        <v>19</v>
      </c>
      <c r="F12">
        <v>0</v>
      </c>
      <c r="H12">
        <v>6</v>
      </c>
      <c r="I12">
        <v>12</v>
      </c>
      <c r="K12">
        <v>0</v>
      </c>
      <c r="L12">
        <v>4</v>
      </c>
      <c r="M12">
        <v>7</v>
      </c>
      <c r="N12">
        <v>7</v>
      </c>
      <c r="O12">
        <v>0</v>
      </c>
      <c r="P12">
        <v>10</v>
      </c>
      <c r="Q12">
        <v>1</v>
      </c>
      <c r="R12">
        <v>17</v>
      </c>
      <c r="S12">
        <v>269</v>
      </c>
      <c r="U12">
        <v>11</v>
      </c>
      <c r="V12">
        <v>5</v>
      </c>
      <c r="W12">
        <v>2</v>
      </c>
      <c r="X12">
        <v>0</v>
      </c>
      <c r="Y12">
        <v>22</v>
      </c>
      <c r="Z12">
        <v>0</v>
      </c>
      <c r="AA12">
        <v>396</v>
      </c>
      <c r="AB12">
        <v>1722</v>
      </c>
      <c r="AC12">
        <v>17784</v>
      </c>
      <c r="AD12">
        <v>48405</v>
      </c>
      <c r="AE12">
        <v>34</v>
      </c>
      <c r="AF12">
        <v>36852</v>
      </c>
      <c r="AG12">
        <v>22316</v>
      </c>
      <c r="AH12">
        <v>46156</v>
      </c>
      <c r="AJ12">
        <v>37309</v>
      </c>
      <c r="AL12">
        <v>59383</v>
      </c>
      <c r="AM12">
        <v>230320</v>
      </c>
      <c r="AN12">
        <v>93823</v>
      </c>
      <c r="AO12">
        <v>137472</v>
      </c>
      <c r="AP12">
        <v>54479</v>
      </c>
      <c r="AQ12">
        <v>32626</v>
      </c>
      <c r="AR12">
        <v>28415</v>
      </c>
      <c r="AS12">
        <v>24997</v>
      </c>
      <c r="AT12">
        <v>8052</v>
      </c>
      <c r="AU12">
        <v>0</v>
      </c>
      <c r="AV12">
        <v>19</v>
      </c>
      <c r="AW12">
        <v>0</v>
      </c>
      <c r="AX12">
        <v>25118</v>
      </c>
      <c r="AY12">
        <v>0</v>
      </c>
      <c r="AZ12">
        <v>0</v>
      </c>
      <c r="BA12">
        <v>90349</v>
      </c>
      <c r="BB12">
        <v>7</v>
      </c>
    </row>
    <row r="13" spans="1:55" x14ac:dyDescent="0.2">
      <c r="A13" s="25" t="s">
        <v>50</v>
      </c>
      <c r="C13">
        <v>19</v>
      </c>
      <c r="E13">
        <v>23</v>
      </c>
      <c r="F13">
        <v>18</v>
      </c>
      <c r="H13">
        <v>5</v>
      </c>
      <c r="I13">
        <v>12</v>
      </c>
      <c r="K13">
        <v>5</v>
      </c>
      <c r="L13">
        <v>10</v>
      </c>
      <c r="M13">
        <v>7</v>
      </c>
      <c r="N13">
        <v>6</v>
      </c>
      <c r="O13">
        <v>6</v>
      </c>
      <c r="P13">
        <v>9</v>
      </c>
      <c r="Q13">
        <v>31</v>
      </c>
      <c r="R13">
        <v>39</v>
      </c>
      <c r="S13">
        <v>255</v>
      </c>
      <c r="U13">
        <v>9</v>
      </c>
      <c r="V13">
        <v>5</v>
      </c>
      <c r="W13">
        <v>4</v>
      </c>
      <c r="X13">
        <v>0</v>
      </c>
      <c r="Y13">
        <v>34</v>
      </c>
      <c r="Z13">
        <v>1</v>
      </c>
      <c r="AA13">
        <v>914</v>
      </c>
      <c r="AB13">
        <v>1668</v>
      </c>
      <c r="AC13">
        <v>1150</v>
      </c>
      <c r="AD13">
        <v>35877</v>
      </c>
      <c r="AE13">
        <v>62</v>
      </c>
      <c r="AF13">
        <v>69989</v>
      </c>
      <c r="AG13">
        <v>62922</v>
      </c>
      <c r="AH13">
        <v>123179</v>
      </c>
      <c r="AJ13">
        <v>20383</v>
      </c>
      <c r="AL13">
        <v>39042</v>
      </c>
      <c r="AM13">
        <v>77244</v>
      </c>
      <c r="AN13">
        <v>74467</v>
      </c>
      <c r="AO13">
        <v>54389</v>
      </c>
      <c r="AP13">
        <v>122327</v>
      </c>
      <c r="AQ13">
        <v>51358</v>
      </c>
      <c r="AR13">
        <v>72226</v>
      </c>
      <c r="AS13">
        <v>16972</v>
      </c>
      <c r="AT13">
        <v>35953</v>
      </c>
      <c r="AU13">
        <v>0</v>
      </c>
      <c r="AV13">
        <v>20</v>
      </c>
      <c r="AW13">
        <v>39</v>
      </c>
      <c r="AX13">
        <v>39741</v>
      </c>
      <c r="AY13">
        <v>2</v>
      </c>
      <c r="AZ13">
        <v>0</v>
      </c>
      <c r="BA13">
        <v>107238</v>
      </c>
      <c r="BB13">
        <v>0</v>
      </c>
    </row>
    <row r="14" spans="1:55" x14ac:dyDescent="0.2">
      <c r="A14" s="25" t="s">
        <v>51</v>
      </c>
      <c r="C14">
        <v>85</v>
      </c>
      <c r="E14">
        <v>19</v>
      </c>
      <c r="F14">
        <v>362</v>
      </c>
      <c r="H14">
        <v>2</v>
      </c>
      <c r="I14">
        <v>401</v>
      </c>
      <c r="K14">
        <v>182</v>
      </c>
      <c r="L14">
        <v>8</v>
      </c>
      <c r="M14">
        <v>240</v>
      </c>
      <c r="N14">
        <v>44</v>
      </c>
      <c r="O14">
        <v>136</v>
      </c>
      <c r="P14">
        <v>32</v>
      </c>
      <c r="Q14">
        <v>471</v>
      </c>
      <c r="R14">
        <v>215</v>
      </c>
      <c r="S14">
        <v>735</v>
      </c>
      <c r="U14">
        <v>7</v>
      </c>
      <c r="V14">
        <v>364</v>
      </c>
      <c r="W14">
        <v>5</v>
      </c>
      <c r="X14">
        <v>0</v>
      </c>
      <c r="Y14">
        <v>1666</v>
      </c>
      <c r="Z14">
        <v>305</v>
      </c>
      <c r="AA14">
        <v>4575</v>
      </c>
      <c r="AB14">
        <v>2247</v>
      </c>
      <c r="AC14">
        <v>0</v>
      </c>
      <c r="AD14">
        <v>5205</v>
      </c>
      <c r="AE14">
        <v>183</v>
      </c>
      <c r="AF14">
        <v>14695</v>
      </c>
      <c r="AG14">
        <v>6783</v>
      </c>
      <c r="AH14">
        <v>15830</v>
      </c>
      <c r="AJ14">
        <v>1744</v>
      </c>
      <c r="AL14">
        <v>2960</v>
      </c>
      <c r="AM14">
        <v>2960</v>
      </c>
      <c r="AN14">
        <v>15279</v>
      </c>
      <c r="AO14">
        <v>3543</v>
      </c>
      <c r="AP14">
        <v>38918</v>
      </c>
      <c r="AQ14">
        <v>7907</v>
      </c>
      <c r="AR14">
        <v>999</v>
      </c>
      <c r="AS14">
        <v>3186</v>
      </c>
      <c r="AT14">
        <v>25596</v>
      </c>
      <c r="AU14">
        <v>0</v>
      </c>
      <c r="AV14">
        <v>11</v>
      </c>
      <c r="AW14">
        <v>176</v>
      </c>
      <c r="AX14">
        <v>15083</v>
      </c>
      <c r="AY14">
        <v>325</v>
      </c>
      <c r="AZ14">
        <v>0</v>
      </c>
      <c r="BA14">
        <v>19947</v>
      </c>
      <c r="BB14">
        <v>99</v>
      </c>
    </row>
    <row r="15" spans="1:55" x14ac:dyDescent="0.2">
      <c r="A15" s="25" t="s">
        <v>52</v>
      </c>
      <c r="C15">
        <v>94</v>
      </c>
      <c r="E15">
        <v>27</v>
      </c>
      <c r="F15">
        <v>9</v>
      </c>
      <c r="H15">
        <v>56</v>
      </c>
      <c r="I15">
        <v>772</v>
      </c>
      <c r="K15">
        <v>168</v>
      </c>
      <c r="L15">
        <v>6</v>
      </c>
      <c r="M15">
        <v>306</v>
      </c>
      <c r="N15">
        <v>70</v>
      </c>
      <c r="O15">
        <v>138</v>
      </c>
      <c r="P15">
        <v>87</v>
      </c>
      <c r="Q15">
        <v>650</v>
      </c>
      <c r="R15">
        <v>260</v>
      </c>
      <c r="S15">
        <v>940</v>
      </c>
      <c r="U15">
        <v>8</v>
      </c>
      <c r="V15">
        <v>426</v>
      </c>
      <c r="X15">
        <v>0</v>
      </c>
      <c r="Y15">
        <v>1742</v>
      </c>
      <c r="Z15">
        <v>346</v>
      </c>
      <c r="AA15">
        <v>4436</v>
      </c>
      <c r="AB15">
        <v>1555</v>
      </c>
      <c r="AC15">
        <v>63</v>
      </c>
      <c r="AD15">
        <v>76</v>
      </c>
      <c r="AE15">
        <v>178</v>
      </c>
      <c r="AF15">
        <v>0</v>
      </c>
      <c r="AG15">
        <v>18</v>
      </c>
      <c r="AH15">
        <v>2042</v>
      </c>
      <c r="AL15">
        <v>1226</v>
      </c>
      <c r="AM15">
        <v>3543</v>
      </c>
      <c r="AN15">
        <v>567</v>
      </c>
      <c r="AO15">
        <v>779</v>
      </c>
      <c r="AP15">
        <v>350</v>
      </c>
      <c r="AQ15">
        <v>343</v>
      </c>
      <c r="AR15">
        <v>0</v>
      </c>
      <c r="AS15">
        <v>157</v>
      </c>
      <c r="AT15">
        <v>4</v>
      </c>
      <c r="AU15">
        <v>0</v>
      </c>
      <c r="AV15">
        <v>1</v>
      </c>
      <c r="AX15">
        <v>2349</v>
      </c>
      <c r="AY15">
        <v>373</v>
      </c>
      <c r="AZ15">
        <v>0</v>
      </c>
      <c r="BA15">
        <v>784</v>
      </c>
      <c r="BB15">
        <v>113</v>
      </c>
    </row>
    <row r="16" spans="1:55" ht="13.5" thickBot="1" x14ac:dyDescent="0.25">
      <c r="A16" s="92" t="s">
        <v>58</v>
      </c>
      <c r="B16" s="93">
        <f>SUM(B4:B15)/10</f>
        <v>0</v>
      </c>
      <c r="C16" s="93">
        <f>SUM(B21:B32)/10</f>
        <v>0</v>
      </c>
      <c r="D16" s="93"/>
      <c r="E16" s="94">
        <f>SUM(E4:E15)/10</f>
        <v>28.2</v>
      </c>
      <c r="F16" s="94">
        <v>0</v>
      </c>
      <c r="G16" s="95">
        <f>SUM(G4:G15)/10</f>
        <v>0</v>
      </c>
      <c r="H16" s="94">
        <f>SUM(H4:H15)/10</f>
        <v>72.8</v>
      </c>
      <c r="I16" s="94">
        <v>0</v>
      </c>
      <c r="J16" s="94"/>
      <c r="K16" s="94">
        <f t="shared" ref="K16:S16" si="0">SUM(K4:K15)/10</f>
        <v>111.9</v>
      </c>
      <c r="L16" s="94">
        <f t="shared" si="0"/>
        <v>8.1</v>
      </c>
      <c r="M16" s="94">
        <f t="shared" si="0"/>
        <v>193</v>
      </c>
      <c r="N16" s="94">
        <f t="shared" si="0"/>
        <v>53.7</v>
      </c>
      <c r="O16" s="94">
        <f t="shared" si="0"/>
        <v>95.7</v>
      </c>
      <c r="P16" s="94">
        <f t="shared" si="0"/>
        <v>35.700000000000003</v>
      </c>
      <c r="Q16" s="94">
        <f t="shared" si="0"/>
        <v>386.1</v>
      </c>
      <c r="R16" s="94">
        <f t="shared" si="0"/>
        <v>118.7</v>
      </c>
      <c r="S16" s="94">
        <f t="shared" si="0"/>
        <v>489.7</v>
      </c>
      <c r="T16" s="94"/>
      <c r="U16" s="94">
        <f t="shared" ref="U16:AD16" si="1">SUM(U4:U15)/10</f>
        <v>9.1999999999999993</v>
      </c>
      <c r="V16" s="94">
        <f t="shared" si="1"/>
        <v>190.7</v>
      </c>
      <c r="W16" s="94">
        <f t="shared" si="1"/>
        <v>4</v>
      </c>
      <c r="X16" s="94">
        <f t="shared" si="1"/>
        <v>0</v>
      </c>
      <c r="Y16" s="94">
        <f t="shared" si="1"/>
        <v>859.8</v>
      </c>
      <c r="Z16" s="94">
        <f t="shared" si="1"/>
        <v>182.3</v>
      </c>
      <c r="AA16" s="94">
        <f t="shared" si="1"/>
        <v>2909.5</v>
      </c>
      <c r="AB16" s="94">
        <f t="shared" si="1"/>
        <v>2496.1999999999998</v>
      </c>
      <c r="AC16" s="94">
        <f t="shared" si="1"/>
        <v>2335.1999999999998</v>
      </c>
      <c r="AD16" s="94">
        <f t="shared" si="1"/>
        <v>9096.9</v>
      </c>
      <c r="AE16" s="94"/>
      <c r="AF16" s="94">
        <f>SUM(AF4:AF15)/10</f>
        <v>12175.1</v>
      </c>
      <c r="AG16" s="94">
        <f>SUM(AG4:AG15)/10</f>
        <v>9570.2000000000007</v>
      </c>
      <c r="AH16" s="94">
        <f>SUM(AH4:AH15)/10</f>
        <v>18847.599999999999</v>
      </c>
      <c r="AI16" s="94">
        <f>SUM(AI4:AI15)/10</f>
        <v>0</v>
      </c>
      <c r="AJ16" s="94">
        <f>SUM(AJ4:AJ15)/10</f>
        <v>7084.6</v>
      </c>
      <c r="AK16" s="94"/>
      <c r="AL16" s="94">
        <f t="shared" ref="AL16:BB16" si="2">SUM(AL4:AL15)/10</f>
        <v>10685.8</v>
      </c>
      <c r="AM16" s="94">
        <f t="shared" si="2"/>
        <v>32848.1</v>
      </c>
      <c r="AN16" s="94">
        <f t="shared" si="2"/>
        <v>18794.2</v>
      </c>
      <c r="AO16" s="94">
        <f t="shared" si="2"/>
        <v>20585.599999999999</v>
      </c>
      <c r="AP16" s="94">
        <f t="shared" si="2"/>
        <v>21609</v>
      </c>
      <c r="AQ16" s="94">
        <f t="shared" si="2"/>
        <v>9669.6</v>
      </c>
      <c r="AR16" s="94">
        <f t="shared" si="2"/>
        <v>10164.700000000001</v>
      </c>
      <c r="AS16" s="96">
        <f t="shared" si="2"/>
        <v>4828.8</v>
      </c>
      <c r="AT16" s="94">
        <f t="shared" si="2"/>
        <v>7294.3</v>
      </c>
      <c r="AU16" s="94">
        <f t="shared" si="2"/>
        <v>0</v>
      </c>
      <c r="AV16" s="94">
        <f t="shared" si="2"/>
        <v>7.1</v>
      </c>
      <c r="AW16" s="94">
        <f t="shared" si="2"/>
        <v>69.3</v>
      </c>
      <c r="AX16" s="94">
        <f t="shared" si="2"/>
        <v>8230</v>
      </c>
      <c r="AY16" s="94">
        <f t="shared" si="2"/>
        <v>233.5</v>
      </c>
      <c r="AZ16" s="94">
        <f t="shared" si="2"/>
        <v>0.8</v>
      </c>
      <c r="BA16" s="94">
        <f t="shared" si="2"/>
        <v>22310.9</v>
      </c>
      <c r="BB16" s="94">
        <f t="shared" si="2"/>
        <v>85.8</v>
      </c>
      <c r="BC16" s="97">
        <f>SUM(B16:BB16)</f>
        <v>234772.39999999994</v>
      </c>
    </row>
    <row r="17" spans="1:55" ht="13.5" thickTop="1" x14ac:dyDescent="0.2">
      <c r="A17" s="92"/>
      <c r="B17" s="134">
        <f>SUM(B4:B15)</f>
        <v>0</v>
      </c>
      <c r="C17" s="134">
        <f t="shared" ref="C17:AE17" si="3">SUM(C4:C15)</f>
        <v>651</v>
      </c>
      <c r="D17" s="134">
        <f t="shared" si="3"/>
        <v>0</v>
      </c>
      <c r="E17" s="134">
        <f t="shared" si="3"/>
        <v>282</v>
      </c>
      <c r="F17" s="134">
        <f t="shared" si="3"/>
        <v>1428</v>
      </c>
      <c r="G17" s="134">
        <f t="shared" si="3"/>
        <v>0</v>
      </c>
      <c r="H17" s="134">
        <f t="shared" si="3"/>
        <v>728</v>
      </c>
      <c r="I17" s="134">
        <f t="shared" si="3"/>
        <v>3696</v>
      </c>
      <c r="J17" s="134">
        <f t="shared" si="3"/>
        <v>0</v>
      </c>
      <c r="K17" s="134">
        <f t="shared" si="3"/>
        <v>1119</v>
      </c>
      <c r="L17" s="134">
        <f t="shared" si="3"/>
        <v>81</v>
      </c>
      <c r="M17" s="134">
        <f t="shared" si="3"/>
        <v>1930</v>
      </c>
      <c r="N17" s="134">
        <f t="shared" si="3"/>
        <v>537</v>
      </c>
      <c r="O17" s="134">
        <f t="shared" si="3"/>
        <v>957</v>
      </c>
      <c r="P17" s="134">
        <f t="shared" si="3"/>
        <v>357</v>
      </c>
      <c r="Q17" s="134">
        <f t="shared" si="3"/>
        <v>3861</v>
      </c>
      <c r="R17" s="134">
        <f t="shared" si="3"/>
        <v>1187</v>
      </c>
      <c r="S17" s="134">
        <f t="shared" si="3"/>
        <v>4897</v>
      </c>
      <c r="T17" s="134">
        <f t="shared" si="3"/>
        <v>0</v>
      </c>
      <c r="U17" s="134">
        <f t="shared" si="3"/>
        <v>92</v>
      </c>
      <c r="V17" s="134">
        <f t="shared" si="3"/>
        <v>1907</v>
      </c>
      <c r="W17" s="134">
        <f t="shared" si="3"/>
        <v>40</v>
      </c>
      <c r="X17" s="134">
        <f t="shared" si="3"/>
        <v>0</v>
      </c>
      <c r="Y17" s="134">
        <f t="shared" si="3"/>
        <v>8598</v>
      </c>
      <c r="Z17" s="134">
        <f t="shared" si="3"/>
        <v>1823</v>
      </c>
      <c r="AA17" s="134">
        <f t="shared" si="3"/>
        <v>29095</v>
      </c>
      <c r="AB17" s="134">
        <f t="shared" si="3"/>
        <v>24962</v>
      </c>
      <c r="AC17" s="134">
        <f t="shared" si="3"/>
        <v>23352</v>
      </c>
      <c r="AD17" s="134">
        <f t="shared" si="3"/>
        <v>90969</v>
      </c>
      <c r="AE17" s="134">
        <f t="shared" si="3"/>
        <v>1277</v>
      </c>
      <c r="AF17" s="135">
        <f>SUM(AF4:AF15)</f>
        <v>121751</v>
      </c>
      <c r="AG17" s="135">
        <f>SUM(AG4:AG15)</f>
        <v>95702</v>
      </c>
      <c r="AH17" s="135">
        <f t="shared" ref="AH17:BB17" si="4">SUM(AH4:AH15)</f>
        <v>188476</v>
      </c>
      <c r="AI17" s="135">
        <f t="shared" si="4"/>
        <v>0</v>
      </c>
      <c r="AJ17" s="135">
        <f t="shared" si="4"/>
        <v>70846</v>
      </c>
      <c r="AK17" s="135">
        <f t="shared" si="4"/>
        <v>0</v>
      </c>
      <c r="AL17" s="135">
        <f t="shared" si="4"/>
        <v>106858</v>
      </c>
      <c r="AM17" s="135">
        <f t="shared" si="4"/>
        <v>328481</v>
      </c>
      <c r="AN17" s="135">
        <f t="shared" si="4"/>
        <v>187942</v>
      </c>
      <c r="AO17" s="135">
        <f t="shared" si="4"/>
        <v>205856</v>
      </c>
      <c r="AP17" s="135">
        <f t="shared" si="4"/>
        <v>216090</v>
      </c>
      <c r="AQ17" s="135">
        <f t="shared" si="4"/>
        <v>96696</v>
      </c>
      <c r="AR17" s="135">
        <f t="shared" si="4"/>
        <v>101647</v>
      </c>
      <c r="AS17" s="135">
        <f t="shared" si="4"/>
        <v>48288</v>
      </c>
      <c r="AT17" s="135">
        <f t="shared" si="4"/>
        <v>72943</v>
      </c>
      <c r="AU17" s="135">
        <f t="shared" si="4"/>
        <v>0</v>
      </c>
      <c r="AV17" s="135">
        <f t="shared" si="4"/>
        <v>71</v>
      </c>
      <c r="AW17" s="135">
        <f t="shared" si="4"/>
        <v>693</v>
      </c>
      <c r="AX17" s="135">
        <f t="shared" si="4"/>
        <v>82300</v>
      </c>
      <c r="AY17" s="135">
        <f t="shared" si="4"/>
        <v>2335</v>
      </c>
      <c r="AZ17" s="135">
        <f t="shared" si="4"/>
        <v>8</v>
      </c>
      <c r="BA17" s="135">
        <f t="shared" si="4"/>
        <v>223109</v>
      </c>
      <c r="BB17" s="135">
        <f t="shared" si="4"/>
        <v>858</v>
      </c>
      <c r="BC17" s="138">
        <f>SUM(B17:BB17)</f>
        <v>2354776</v>
      </c>
    </row>
    <row r="18" spans="1:55" x14ac:dyDescent="0.2">
      <c r="A18" s="92"/>
      <c r="B18" s="134"/>
      <c r="C18" s="134"/>
      <c r="D18" s="134"/>
      <c r="E18" s="135"/>
      <c r="F18" s="135"/>
      <c r="G18" s="136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7"/>
      <c r="AT18" s="135"/>
      <c r="AU18" s="135"/>
      <c r="AV18" s="135"/>
      <c r="AW18" s="135"/>
      <c r="AX18" s="135"/>
      <c r="AY18" s="135"/>
      <c r="AZ18" s="135"/>
      <c r="BA18" s="135"/>
      <c r="BB18" s="135"/>
      <c r="BC18" s="138"/>
    </row>
    <row r="20" spans="1:55" x14ac:dyDescent="0.2">
      <c r="A20" s="26">
        <v>2014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/>
      <c r="BA20" s="31"/>
      <c r="BB20" s="31"/>
      <c r="BC20" s="31"/>
    </row>
    <row r="21" spans="1:55" x14ac:dyDescent="0.2">
      <c r="A21" s="106" t="s">
        <v>59</v>
      </c>
      <c r="C21">
        <v>115.89</v>
      </c>
      <c r="E21">
        <v>41.18</v>
      </c>
      <c r="F21">
        <v>421.82</v>
      </c>
      <c r="H21">
        <v>267.27999999999997</v>
      </c>
      <c r="I21">
        <v>992.61</v>
      </c>
      <c r="K21">
        <v>245.72</v>
      </c>
      <c r="L21">
        <v>20.49</v>
      </c>
      <c r="M21">
        <v>447.06</v>
      </c>
      <c r="N21">
        <v>-7.99</v>
      </c>
      <c r="O21">
        <v>253.29</v>
      </c>
      <c r="P21">
        <v>64.75</v>
      </c>
      <c r="Q21">
        <v>713.26</v>
      </c>
      <c r="R21">
        <v>184.08</v>
      </c>
      <c r="S21">
        <v>837.45</v>
      </c>
      <c r="U21">
        <v>18.75</v>
      </c>
      <c r="V21">
        <v>489.89</v>
      </c>
      <c r="W21">
        <v>18.23</v>
      </c>
      <c r="X21">
        <v>13.55</v>
      </c>
      <c r="Y21">
        <v>1461.57</v>
      </c>
      <c r="Z21">
        <v>355.97</v>
      </c>
      <c r="AA21">
        <v>4629.75</v>
      </c>
      <c r="AB21">
        <v>2600.15</v>
      </c>
      <c r="AC21">
        <v>80.099999999999994</v>
      </c>
      <c r="AD21">
        <v>0</v>
      </c>
      <c r="AE21">
        <v>236.31</v>
      </c>
      <c r="AF21">
        <v>162.83000000000001</v>
      </c>
      <c r="AG21">
        <v>933.19</v>
      </c>
      <c r="AH21">
        <v>596.65</v>
      </c>
      <c r="AJ21">
        <v>302.51</v>
      </c>
      <c r="AL21">
        <v>787.84</v>
      </c>
      <c r="AM21">
        <v>52.56</v>
      </c>
      <c r="AN21">
        <v>674.67</v>
      </c>
      <c r="AO21">
        <v>121.3</v>
      </c>
      <c r="AP21">
        <v>0</v>
      </c>
      <c r="AQ21">
        <v>1858.4</v>
      </c>
      <c r="AR21">
        <v>0</v>
      </c>
      <c r="AS21">
        <v>1832.58</v>
      </c>
      <c r="AT21">
        <v>1304.21</v>
      </c>
      <c r="AU21">
        <v>10.16</v>
      </c>
      <c r="AV21">
        <v>11.44</v>
      </c>
      <c r="AW21">
        <v>183.55</v>
      </c>
      <c r="AX21">
        <v>0</v>
      </c>
      <c r="AY21">
        <v>495.51</v>
      </c>
      <c r="AZ21">
        <v>10.16</v>
      </c>
      <c r="BA21">
        <v>839.19</v>
      </c>
      <c r="BB21">
        <v>175.56</v>
      </c>
    </row>
    <row r="22" spans="1:55" x14ac:dyDescent="0.2">
      <c r="A22" s="113" t="s">
        <v>42</v>
      </c>
      <c r="C22">
        <v>128.31</v>
      </c>
      <c r="E22">
        <v>31.09</v>
      </c>
      <c r="F22">
        <v>181.59</v>
      </c>
      <c r="H22">
        <v>128.69</v>
      </c>
      <c r="I22">
        <v>667.7</v>
      </c>
      <c r="K22">
        <v>218.29</v>
      </c>
      <c r="L22">
        <v>20.420000000000002</v>
      </c>
      <c r="M22">
        <v>384.85</v>
      </c>
      <c r="N22">
        <v>110.47</v>
      </c>
      <c r="O22">
        <v>185.13</v>
      </c>
      <c r="P22">
        <v>73.180000000000007</v>
      </c>
      <c r="Q22">
        <v>706.96</v>
      </c>
      <c r="R22">
        <v>138.24</v>
      </c>
      <c r="S22">
        <v>653.4</v>
      </c>
      <c r="U22">
        <v>15.37</v>
      </c>
      <c r="V22">
        <v>455.59</v>
      </c>
      <c r="W22">
        <v>17.5</v>
      </c>
      <c r="X22">
        <v>13.55</v>
      </c>
      <c r="Y22">
        <v>1153.25</v>
      </c>
      <c r="Z22">
        <v>342.7</v>
      </c>
      <c r="AA22">
        <v>3982.48</v>
      </c>
      <c r="AB22">
        <v>3012.52</v>
      </c>
      <c r="AC22">
        <v>69.48</v>
      </c>
      <c r="AD22">
        <v>0</v>
      </c>
      <c r="AE22">
        <v>98.79</v>
      </c>
      <c r="AF22">
        <v>0</v>
      </c>
      <c r="AG22">
        <v>1653.27</v>
      </c>
      <c r="AH22">
        <v>0</v>
      </c>
      <c r="AJ22">
        <v>201.68</v>
      </c>
      <c r="AL22">
        <v>561.37</v>
      </c>
      <c r="AM22">
        <v>0</v>
      </c>
      <c r="AN22">
        <v>405</v>
      </c>
      <c r="AO22">
        <v>122.72</v>
      </c>
      <c r="AP22">
        <v>0</v>
      </c>
      <c r="AQ22">
        <v>418.74</v>
      </c>
      <c r="AR22">
        <v>0</v>
      </c>
      <c r="AS22">
        <v>-1421.32</v>
      </c>
      <c r="AT22">
        <v>1439.87</v>
      </c>
      <c r="AU22">
        <v>10.16</v>
      </c>
      <c r="AV22">
        <v>10.42</v>
      </c>
      <c r="AW22">
        <v>145.32</v>
      </c>
      <c r="AX22">
        <v>0</v>
      </c>
      <c r="AY22">
        <v>434.45</v>
      </c>
      <c r="AZ22">
        <v>13.26</v>
      </c>
      <c r="BA22">
        <v>138.91999999999999</v>
      </c>
      <c r="BB22">
        <v>161.33000000000001</v>
      </c>
    </row>
    <row r="23" spans="1:55" x14ac:dyDescent="0.2">
      <c r="A23" s="113" t="s">
        <v>43</v>
      </c>
      <c r="C23">
        <v>79.150000000000006</v>
      </c>
      <c r="E23">
        <v>38.29</v>
      </c>
      <c r="F23">
        <v>160.78</v>
      </c>
      <c r="H23">
        <v>128.08000000000001</v>
      </c>
      <c r="I23">
        <v>160.21</v>
      </c>
      <c r="K23">
        <v>134.26</v>
      </c>
      <c r="L23">
        <v>20.29</v>
      </c>
      <c r="M23">
        <v>206.28</v>
      </c>
      <c r="N23">
        <v>84.79</v>
      </c>
      <c r="O23">
        <v>89.52</v>
      </c>
      <c r="P23">
        <v>49.66</v>
      </c>
      <c r="Q23">
        <v>448.45</v>
      </c>
      <c r="R23">
        <v>127.46</v>
      </c>
      <c r="S23">
        <v>502.04</v>
      </c>
      <c r="U23">
        <v>24.76</v>
      </c>
      <c r="V23">
        <v>316.74</v>
      </c>
      <c r="W23">
        <v>17.059999999999999</v>
      </c>
      <c r="X23">
        <v>13.55</v>
      </c>
      <c r="Y23">
        <v>961.98</v>
      </c>
      <c r="Z23">
        <v>199.39</v>
      </c>
      <c r="AA23">
        <v>3137.24</v>
      </c>
      <c r="AB23">
        <v>2539.16</v>
      </c>
      <c r="AC23">
        <v>12.74</v>
      </c>
      <c r="AD23">
        <v>0</v>
      </c>
      <c r="AE23">
        <v>243.41</v>
      </c>
      <c r="AF23">
        <v>0</v>
      </c>
      <c r="AG23">
        <v>4.1100000000000003</v>
      </c>
      <c r="AH23">
        <v>0</v>
      </c>
      <c r="AJ23">
        <v>1205.6600000000001</v>
      </c>
      <c r="AL23">
        <v>587.08000000000004</v>
      </c>
      <c r="AM23">
        <v>1594.92</v>
      </c>
      <c r="AN23">
        <v>232.8</v>
      </c>
      <c r="AO23">
        <v>137.5</v>
      </c>
      <c r="AP23">
        <v>2.35</v>
      </c>
      <c r="AQ23">
        <v>371.76</v>
      </c>
      <c r="AR23">
        <v>0</v>
      </c>
      <c r="AS23">
        <v>-1300.33</v>
      </c>
      <c r="AT23">
        <v>4.1100000000000003</v>
      </c>
      <c r="AU23">
        <v>10.16</v>
      </c>
      <c r="AV23">
        <v>11.41</v>
      </c>
      <c r="AW23">
        <v>68.3</v>
      </c>
      <c r="AX23">
        <v>0</v>
      </c>
      <c r="AY23">
        <v>276.02</v>
      </c>
      <c r="AZ23">
        <v>10.16</v>
      </c>
      <c r="BA23">
        <v>1714.01</v>
      </c>
      <c r="BB23">
        <v>128.03</v>
      </c>
    </row>
    <row r="24" spans="1:55" x14ac:dyDescent="0.2">
      <c r="A24" s="113" t="s">
        <v>44</v>
      </c>
      <c r="C24">
        <v>20.21</v>
      </c>
      <c r="E24">
        <v>31.72</v>
      </c>
      <c r="F24">
        <v>39.869999999999997</v>
      </c>
      <c r="H24">
        <v>16.11</v>
      </c>
      <c r="I24">
        <v>105.23</v>
      </c>
      <c r="K24">
        <v>39.020000000000003</v>
      </c>
      <c r="L24">
        <v>20.34</v>
      </c>
      <c r="M24">
        <v>44.96</v>
      </c>
      <c r="N24">
        <v>22.62</v>
      </c>
      <c r="O24">
        <v>30.78</v>
      </c>
      <c r="P24">
        <v>33.39</v>
      </c>
      <c r="Q24">
        <v>202.73</v>
      </c>
      <c r="R24">
        <v>85.33</v>
      </c>
      <c r="S24">
        <v>78.83</v>
      </c>
      <c r="U24">
        <v>18.350000000000001</v>
      </c>
      <c r="V24">
        <v>91.66</v>
      </c>
      <c r="W24">
        <v>19.57</v>
      </c>
      <c r="X24">
        <v>13.55</v>
      </c>
      <c r="Y24">
        <v>257.97000000000003</v>
      </c>
      <c r="Z24">
        <v>34.020000000000003</v>
      </c>
      <c r="AA24">
        <v>1231.8800000000001</v>
      </c>
      <c r="AB24">
        <v>2008.58</v>
      </c>
      <c r="AC24">
        <v>45.38</v>
      </c>
      <c r="AD24">
        <v>0</v>
      </c>
      <c r="AE24">
        <v>54.29</v>
      </c>
      <c r="AF24">
        <v>0</v>
      </c>
      <c r="AG24">
        <v>19.190000000000001</v>
      </c>
      <c r="AH24">
        <v>0</v>
      </c>
      <c r="AJ24">
        <v>1430.03</v>
      </c>
      <c r="AL24">
        <v>365.5</v>
      </c>
      <c r="AM24">
        <v>10.48</v>
      </c>
      <c r="AN24">
        <v>66.38</v>
      </c>
      <c r="AO24">
        <v>267.89999999999998</v>
      </c>
      <c r="AP24">
        <v>1.43</v>
      </c>
      <c r="AQ24">
        <v>312.81</v>
      </c>
      <c r="AR24">
        <v>0</v>
      </c>
      <c r="AS24">
        <v>-1206.69</v>
      </c>
      <c r="AT24">
        <v>0</v>
      </c>
      <c r="AU24">
        <v>10.16</v>
      </c>
      <c r="AV24">
        <v>11.53</v>
      </c>
      <c r="AW24">
        <v>24.58</v>
      </c>
      <c r="AX24">
        <v>0</v>
      </c>
      <c r="AY24">
        <v>89.1</v>
      </c>
      <c r="AZ24">
        <v>10.16</v>
      </c>
      <c r="BA24">
        <v>970.08</v>
      </c>
      <c r="BB24">
        <v>14.52</v>
      </c>
    </row>
    <row r="25" spans="1:55" x14ac:dyDescent="0.2">
      <c r="A25" s="113" t="s">
        <v>45</v>
      </c>
      <c r="C25">
        <v>20.23</v>
      </c>
      <c r="E25">
        <v>32.44</v>
      </c>
      <c r="F25">
        <v>28.39</v>
      </c>
      <c r="H25">
        <v>24.53</v>
      </c>
      <c r="I25">
        <v>43.98</v>
      </c>
      <c r="K25">
        <v>16.95</v>
      </c>
      <c r="L25">
        <v>17.8</v>
      </c>
      <c r="M25">
        <v>19.510000000000002</v>
      </c>
      <c r="N25">
        <v>16.920000000000002</v>
      </c>
      <c r="O25">
        <v>16.920000000000002</v>
      </c>
      <c r="P25">
        <v>17.54</v>
      </c>
      <c r="Q25">
        <v>40.549999999999997</v>
      </c>
      <c r="R25">
        <v>25</v>
      </c>
      <c r="S25">
        <v>16.11</v>
      </c>
      <c r="U25">
        <v>16.010000000000002</v>
      </c>
      <c r="V25">
        <v>28.84</v>
      </c>
      <c r="W25">
        <v>13.09</v>
      </c>
      <c r="X25">
        <v>13.55</v>
      </c>
      <c r="Y25">
        <v>46.11</v>
      </c>
      <c r="Z25">
        <v>14.47</v>
      </c>
      <c r="AA25">
        <v>416.6</v>
      </c>
      <c r="AB25">
        <v>1081.4000000000001</v>
      </c>
      <c r="AC25">
        <v>0</v>
      </c>
      <c r="AD25">
        <v>8</v>
      </c>
      <c r="AE25">
        <v>38.07</v>
      </c>
      <c r="AF25">
        <v>0</v>
      </c>
      <c r="AG25">
        <v>22.14</v>
      </c>
      <c r="AH25">
        <v>0</v>
      </c>
      <c r="AJ25">
        <v>49.52</v>
      </c>
      <c r="AL25">
        <v>286.17</v>
      </c>
      <c r="AM25">
        <v>0</v>
      </c>
      <c r="AN25">
        <v>19.73</v>
      </c>
      <c r="AO25">
        <v>236.62</v>
      </c>
      <c r="AP25">
        <v>0</v>
      </c>
      <c r="AQ25">
        <v>174.91</v>
      </c>
      <c r="AR25">
        <v>0</v>
      </c>
      <c r="AS25">
        <v>-1284.3499999999999</v>
      </c>
      <c r="AT25">
        <v>3.04</v>
      </c>
      <c r="AU25">
        <v>10.16</v>
      </c>
      <c r="AV25">
        <v>10.42</v>
      </c>
      <c r="AW25">
        <v>14.39</v>
      </c>
      <c r="AX25">
        <v>0</v>
      </c>
      <c r="AY25">
        <v>29.67</v>
      </c>
      <c r="AZ25">
        <v>15.9</v>
      </c>
      <c r="BA25">
        <v>85.32</v>
      </c>
      <c r="BB25">
        <v>46.31</v>
      </c>
    </row>
    <row r="26" spans="1:55" x14ac:dyDescent="0.2">
      <c r="A26" s="113" t="s">
        <v>46</v>
      </c>
      <c r="C26">
        <v>19.399999999999999</v>
      </c>
      <c r="E26">
        <v>28.34</v>
      </c>
      <c r="F26">
        <v>22.69</v>
      </c>
      <c r="H26">
        <v>19.47</v>
      </c>
      <c r="I26">
        <v>26.24</v>
      </c>
      <c r="K26">
        <v>13.55</v>
      </c>
      <c r="L26">
        <v>18.600000000000001</v>
      </c>
      <c r="M26">
        <v>19.440000000000001</v>
      </c>
      <c r="N26">
        <v>18.510000000000002</v>
      </c>
      <c r="O26">
        <v>13.67</v>
      </c>
      <c r="P26">
        <v>15.29</v>
      </c>
      <c r="Q26">
        <v>13.8</v>
      </c>
      <c r="R26">
        <v>16.899999999999999</v>
      </c>
      <c r="S26">
        <v>14.47</v>
      </c>
      <c r="U26">
        <v>18.13</v>
      </c>
      <c r="V26">
        <v>17.760000000000002</v>
      </c>
      <c r="W26">
        <v>13.09</v>
      </c>
      <c r="X26">
        <v>13.55</v>
      </c>
      <c r="Y26">
        <v>31.44</v>
      </c>
      <c r="Z26">
        <v>13.67</v>
      </c>
      <c r="AA26">
        <v>179.23</v>
      </c>
      <c r="AB26">
        <v>432.82</v>
      </c>
      <c r="AC26">
        <v>0</v>
      </c>
      <c r="AD26">
        <v>137.77000000000001</v>
      </c>
      <c r="AE26">
        <v>28.7</v>
      </c>
      <c r="AF26">
        <v>0</v>
      </c>
      <c r="AG26">
        <v>0</v>
      </c>
      <c r="AH26">
        <v>0</v>
      </c>
      <c r="AJ26">
        <v>0</v>
      </c>
      <c r="AL26">
        <v>17.86</v>
      </c>
      <c r="AM26">
        <v>400.84</v>
      </c>
      <c r="AN26">
        <v>158.72999999999999</v>
      </c>
      <c r="AO26">
        <v>2.14</v>
      </c>
      <c r="AP26">
        <v>0</v>
      </c>
      <c r="AQ26">
        <v>81.55</v>
      </c>
      <c r="AR26">
        <v>0</v>
      </c>
      <c r="AS26">
        <v>-1284.3499999999999</v>
      </c>
      <c r="AT26">
        <v>1.5</v>
      </c>
      <c r="AU26">
        <v>10.16</v>
      </c>
      <c r="AV26">
        <v>11.51</v>
      </c>
      <c r="AW26">
        <v>14.39</v>
      </c>
      <c r="AX26">
        <v>0</v>
      </c>
      <c r="AY26">
        <v>13.55</v>
      </c>
      <c r="AZ26">
        <v>10.16</v>
      </c>
      <c r="BA26">
        <v>28.66</v>
      </c>
      <c r="BB26">
        <v>19.399999999999999</v>
      </c>
    </row>
    <row r="27" spans="1:55" x14ac:dyDescent="0.2">
      <c r="A27" s="113" t="s">
        <v>47</v>
      </c>
      <c r="C27">
        <v>20.170000000000002</v>
      </c>
      <c r="E27">
        <v>27.53</v>
      </c>
      <c r="F27">
        <v>16.23</v>
      </c>
      <c r="H27">
        <v>-5.93</v>
      </c>
      <c r="I27">
        <v>-22.01</v>
      </c>
      <c r="K27">
        <v>13.55</v>
      </c>
      <c r="L27">
        <v>16.920000000000002</v>
      </c>
      <c r="M27">
        <v>19.440000000000001</v>
      </c>
      <c r="N27">
        <v>19.32</v>
      </c>
      <c r="O27">
        <v>13.67</v>
      </c>
      <c r="P27">
        <v>12.02</v>
      </c>
      <c r="Q27">
        <v>13</v>
      </c>
      <c r="R27">
        <v>16.09</v>
      </c>
      <c r="S27">
        <v>14.47</v>
      </c>
      <c r="U27">
        <v>16.989999999999998</v>
      </c>
      <c r="V27">
        <v>17.760000000000002</v>
      </c>
      <c r="W27">
        <v>13.09</v>
      </c>
      <c r="X27">
        <v>13.55</v>
      </c>
      <c r="Y27">
        <v>31.44</v>
      </c>
      <c r="Z27">
        <v>14.47</v>
      </c>
      <c r="AA27">
        <v>187.33</v>
      </c>
      <c r="AB27">
        <v>695.39</v>
      </c>
      <c r="AC27">
        <v>0</v>
      </c>
      <c r="AD27">
        <v>-145.77000000000001</v>
      </c>
      <c r="AE27">
        <v>31.24</v>
      </c>
      <c r="AF27">
        <v>0</v>
      </c>
      <c r="AG27">
        <v>294.04000000000002</v>
      </c>
      <c r="AH27">
        <v>226.94</v>
      </c>
      <c r="AJ27">
        <v>0.72</v>
      </c>
      <c r="AL27">
        <v>114.53</v>
      </c>
      <c r="AM27">
        <v>931.09</v>
      </c>
      <c r="AN27">
        <v>5.3</v>
      </c>
      <c r="AO27">
        <v>12.83</v>
      </c>
      <c r="AP27">
        <v>0</v>
      </c>
      <c r="AQ27">
        <v>120.36</v>
      </c>
      <c r="AR27">
        <v>0</v>
      </c>
      <c r="AS27">
        <v>-1284.3499999999999</v>
      </c>
      <c r="AT27">
        <v>0</v>
      </c>
      <c r="AU27">
        <v>10.16</v>
      </c>
      <c r="AV27">
        <v>11.51</v>
      </c>
      <c r="AW27">
        <v>14.39</v>
      </c>
      <c r="AX27">
        <v>0</v>
      </c>
      <c r="AY27">
        <v>13.55</v>
      </c>
      <c r="AZ27">
        <v>10.16</v>
      </c>
      <c r="BA27">
        <v>17.72</v>
      </c>
      <c r="BB27">
        <v>19.37</v>
      </c>
    </row>
    <row r="28" spans="1:55" x14ac:dyDescent="0.2">
      <c r="A28" s="113" t="s">
        <v>48</v>
      </c>
      <c r="C28">
        <v>28.25</v>
      </c>
      <c r="E28">
        <v>25.12</v>
      </c>
      <c r="F28">
        <v>13</v>
      </c>
      <c r="H28">
        <v>14.35</v>
      </c>
      <c r="I28">
        <v>2.4900000000000002</v>
      </c>
      <c r="K28">
        <v>13.55</v>
      </c>
      <c r="L28">
        <v>16.079999999999998</v>
      </c>
      <c r="M28">
        <v>19.440000000000001</v>
      </c>
      <c r="N28">
        <v>19.32</v>
      </c>
      <c r="O28">
        <v>13.67</v>
      </c>
      <c r="P28">
        <v>40.42</v>
      </c>
      <c r="Q28">
        <v>13.8</v>
      </c>
      <c r="R28">
        <v>16.91</v>
      </c>
      <c r="S28">
        <v>25.79</v>
      </c>
      <c r="U28">
        <v>17</v>
      </c>
      <c r="V28">
        <v>17.760000000000002</v>
      </c>
      <c r="W28">
        <v>15.51</v>
      </c>
      <c r="X28">
        <v>13.55</v>
      </c>
      <c r="Y28">
        <v>32.25</v>
      </c>
      <c r="Z28">
        <v>13.67</v>
      </c>
      <c r="AA28">
        <v>187.35</v>
      </c>
      <c r="AB28">
        <v>1273.97</v>
      </c>
      <c r="AC28">
        <v>5473.53</v>
      </c>
      <c r="AD28">
        <v>877.56</v>
      </c>
      <c r="AE28">
        <v>33.76</v>
      </c>
      <c r="AF28">
        <v>10.15</v>
      </c>
      <c r="AG28">
        <v>30.22</v>
      </c>
      <c r="AH28">
        <v>5.8</v>
      </c>
      <c r="AJ28">
        <v>4535.78</v>
      </c>
      <c r="AL28">
        <v>508.82</v>
      </c>
      <c r="AM28">
        <v>6757.76</v>
      </c>
      <c r="AN28">
        <v>1371.79</v>
      </c>
      <c r="AO28">
        <v>5369.14</v>
      </c>
      <c r="AP28">
        <v>7.97</v>
      </c>
      <c r="AQ28">
        <v>83.39</v>
      </c>
      <c r="AR28">
        <v>5.8</v>
      </c>
      <c r="AS28">
        <v>-1205.7</v>
      </c>
      <c r="AT28">
        <v>4.5199999999999996</v>
      </c>
      <c r="AU28">
        <v>10.16</v>
      </c>
      <c r="AV28">
        <v>26.79</v>
      </c>
      <c r="AW28">
        <v>14.39</v>
      </c>
      <c r="AX28">
        <v>6.53</v>
      </c>
      <c r="AY28">
        <v>13.55</v>
      </c>
      <c r="AZ28">
        <v>10.16</v>
      </c>
      <c r="BA28">
        <v>37.979999999999997</v>
      </c>
      <c r="BB28">
        <v>19.37</v>
      </c>
    </row>
    <row r="29" spans="1:55" x14ac:dyDescent="0.2">
      <c r="A29" s="113" t="s">
        <v>49</v>
      </c>
      <c r="C29">
        <v>29.89</v>
      </c>
      <c r="E29">
        <v>28.35</v>
      </c>
      <c r="F29">
        <v>13</v>
      </c>
      <c r="H29">
        <v>18.600000000000001</v>
      </c>
      <c r="I29">
        <v>23.66</v>
      </c>
      <c r="K29">
        <v>13.55</v>
      </c>
      <c r="L29">
        <v>16.93</v>
      </c>
      <c r="M29">
        <v>19.440000000000001</v>
      </c>
      <c r="N29">
        <v>19.32</v>
      </c>
      <c r="O29">
        <v>13.67</v>
      </c>
      <c r="P29">
        <v>20.77</v>
      </c>
      <c r="Q29">
        <v>13.8</v>
      </c>
      <c r="R29">
        <v>27.41</v>
      </c>
      <c r="S29">
        <v>231</v>
      </c>
      <c r="U29">
        <v>22.68</v>
      </c>
      <c r="V29">
        <v>17.760000000000002</v>
      </c>
      <c r="W29">
        <v>14.69</v>
      </c>
      <c r="X29">
        <v>13.55</v>
      </c>
      <c r="Y29">
        <v>31.44</v>
      </c>
      <c r="Z29">
        <v>13.67</v>
      </c>
      <c r="AA29">
        <v>333.6</v>
      </c>
      <c r="AB29">
        <v>1401.33</v>
      </c>
      <c r="AC29">
        <v>21263.22</v>
      </c>
      <c r="AD29">
        <v>28609.35</v>
      </c>
      <c r="AE29">
        <v>42.18</v>
      </c>
      <c r="AF29">
        <v>21979.65</v>
      </c>
      <c r="AG29">
        <v>14337.49</v>
      </c>
      <c r="AH29">
        <v>26704.13</v>
      </c>
      <c r="AJ29">
        <v>27368.46</v>
      </c>
      <c r="AL29">
        <v>35487.1</v>
      </c>
      <c r="AM29">
        <v>167650.63</v>
      </c>
      <c r="AN29">
        <v>56532.9</v>
      </c>
      <c r="AO29">
        <v>77311.360000000001</v>
      </c>
      <c r="AP29">
        <v>31954.03</v>
      </c>
      <c r="AQ29">
        <v>19587.439999999999</v>
      </c>
      <c r="AR29">
        <v>17205.14</v>
      </c>
      <c r="AS29">
        <v>14670.68</v>
      </c>
      <c r="AT29">
        <v>5447.43</v>
      </c>
      <c r="AU29">
        <v>10.16</v>
      </c>
      <c r="AV29">
        <v>31.16</v>
      </c>
      <c r="AW29">
        <v>13.55</v>
      </c>
      <c r="AX29">
        <v>15338.66</v>
      </c>
      <c r="AY29">
        <v>13.55</v>
      </c>
      <c r="AZ29">
        <v>10.16</v>
      </c>
      <c r="BA29">
        <v>60788.37</v>
      </c>
      <c r="BB29">
        <v>19.37</v>
      </c>
    </row>
    <row r="30" spans="1:55" x14ac:dyDescent="0.2">
      <c r="A30" s="113" t="s">
        <v>50</v>
      </c>
      <c r="C30">
        <v>29.07</v>
      </c>
      <c r="E30">
        <v>31.64</v>
      </c>
      <c r="F30">
        <v>27.58</v>
      </c>
      <c r="H30">
        <v>17.760000000000002</v>
      </c>
      <c r="I30">
        <v>23.66</v>
      </c>
      <c r="K30">
        <v>17.93</v>
      </c>
      <c r="L30">
        <v>22.3</v>
      </c>
      <c r="M30">
        <v>19.670000000000002</v>
      </c>
      <c r="N30">
        <v>18.7</v>
      </c>
      <c r="O30">
        <v>18.7</v>
      </c>
      <c r="P30">
        <v>20.93</v>
      </c>
      <c r="Q30">
        <v>39.03</v>
      </c>
      <c r="R30">
        <v>180.24</v>
      </c>
      <c r="S30">
        <v>227.71</v>
      </c>
      <c r="U30">
        <v>21.73</v>
      </c>
      <c r="V30">
        <v>17.93</v>
      </c>
      <c r="W30">
        <v>16.34</v>
      </c>
      <c r="X30">
        <v>13.55</v>
      </c>
      <c r="Y30">
        <v>42.2</v>
      </c>
      <c r="Z30">
        <v>14.5</v>
      </c>
      <c r="AA30">
        <v>780.89</v>
      </c>
      <c r="AB30">
        <v>1411.6</v>
      </c>
      <c r="AC30">
        <v>1666.4</v>
      </c>
      <c r="AD30">
        <v>26601.69</v>
      </c>
      <c r="AE30">
        <v>65.94</v>
      </c>
      <c r="AF30">
        <v>40738.870000000003</v>
      </c>
      <c r="AG30">
        <v>38299.599999999999</v>
      </c>
      <c r="AH30">
        <v>69402.59</v>
      </c>
      <c r="AJ30">
        <v>15569.17</v>
      </c>
      <c r="AL30">
        <v>29506.77</v>
      </c>
      <c r="AM30">
        <v>59490.96</v>
      </c>
      <c r="AN30">
        <v>47058.79</v>
      </c>
      <c r="AO30">
        <v>32984.910000000003</v>
      </c>
      <c r="AP30">
        <v>70361.47</v>
      </c>
      <c r="AQ30">
        <v>30193.02</v>
      </c>
      <c r="AR30">
        <v>42005.01</v>
      </c>
      <c r="AS30">
        <v>11163.87</v>
      </c>
      <c r="AT30">
        <v>22386.42</v>
      </c>
      <c r="AU30">
        <v>10.16</v>
      </c>
      <c r="AV30">
        <v>35.07</v>
      </c>
      <c r="AW30">
        <v>45.95</v>
      </c>
      <c r="AX30">
        <v>23617.77</v>
      </c>
      <c r="AY30">
        <v>15.22</v>
      </c>
      <c r="AZ30">
        <v>10.16</v>
      </c>
      <c r="BA30">
        <v>71919.55</v>
      </c>
      <c r="BB30">
        <v>13.72</v>
      </c>
    </row>
    <row r="31" spans="1:55" x14ac:dyDescent="0.2">
      <c r="A31" s="113" t="s">
        <v>51</v>
      </c>
      <c r="C31">
        <v>79.37</v>
      </c>
      <c r="E31">
        <v>32.39</v>
      </c>
      <c r="F31">
        <v>293.62</v>
      </c>
      <c r="H31">
        <v>15.16</v>
      </c>
      <c r="I31">
        <v>338.6</v>
      </c>
      <c r="K31">
        <v>160.63999999999999</v>
      </c>
      <c r="L31">
        <v>20.010000000000002</v>
      </c>
      <c r="M31">
        <v>207.5</v>
      </c>
      <c r="N31">
        <v>47.77</v>
      </c>
      <c r="O31">
        <v>119.03</v>
      </c>
      <c r="P31">
        <v>43.09</v>
      </c>
      <c r="Q31">
        <v>377.91</v>
      </c>
      <c r="R31">
        <v>224.14</v>
      </c>
      <c r="S31">
        <v>583.12</v>
      </c>
      <c r="U31">
        <v>17.66</v>
      </c>
      <c r="V31">
        <v>307.56</v>
      </c>
      <c r="W31">
        <v>16.97</v>
      </c>
      <c r="X31">
        <v>13.55</v>
      </c>
      <c r="Y31">
        <v>1298.3</v>
      </c>
      <c r="Z31">
        <v>249.97</v>
      </c>
      <c r="AA31">
        <v>3446.51</v>
      </c>
      <c r="AB31">
        <v>1733.07</v>
      </c>
      <c r="AC31">
        <v>0</v>
      </c>
      <c r="AD31">
        <v>3995.67</v>
      </c>
      <c r="AE31">
        <v>161.44</v>
      </c>
      <c r="AF31">
        <v>10945.31</v>
      </c>
      <c r="AG31">
        <v>5383.79</v>
      </c>
      <c r="AH31">
        <v>11455.44</v>
      </c>
      <c r="AJ31">
        <v>1357.87</v>
      </c>
      <c r="AL31">
        <v>2443.2199999999998</v>
      </c>
      <c r="AM31">
        <v>-36.11</v>
      </c>
      <c r="AN31">
        <v>11879.36</v>
      </c>
      <c r="AO31">
        <v>2733.51</v>
      </c>
      <c r="AP31">
        <v>26945.69</v>
      </c>
      <c r="AQ31">
        <v>5905.35</v>
      </c>
      <c r="AR31">
        <v>828.9</v>
      </c>
      <c r="AS31">
        <v>2553.66</v>
      </c>
      <c r="AT31">
        <v>19184.830000000002</v>
      </c>
      <c r="AU31">
        <v>10.16</v>
      </c>
      <c r="AV31">
        <v>21.68</v>
      </c>
      <c r="AW31">
        <v>158.29</v>
      </c>
      <c r="AX31">
        <v>10934.51</v>
      </c>
      <c r="AY31">
        <v>274.05</v>
      </c>
      <c r="AZ31">
        <v>10.16</v>
      </c>
      <c r="BA31">
        <v>16579.96</v>
      </c>
      <c r="BB31">
        <v>90.18</v>
      </c>
    </row>
    <row r="32" spans="1:55" x14ac:dyDescent="0.2">
      <c r="A32" s="113" t="s">
        <v>52</v>
      </c>
      <c r="C32">
        <v>91.16</v>
      </c>
      <c r="E32">
        <v>42.25</v>
      </c>
      <c r="F32">
        <v>20.32</v>
      </c>
      <c r="H32">
        <v>59.67</v>
      </c>
      <c r="I32">
        <v>649.44000000000005</v>
      </c>
      <c r="K32">
        <v>155.88999999999999</v>
      </c>
      <c r="L32">
        <v>18.62</v>
      </c>
      <c r="M32">
        <v>272.81</v>
      </c>
      <c r="N32">
        <v>70.319999999999993</v>
      </c>
      <c r="O32">
        <v>125.38</v>
      </c>
      <c r="P32">
        <v>99.66</v>
      </c>
      <c r="Q32">
        <v>539.19000000000005</v>
      </c>
      <c r="S32">
        <v>774.59</v>
      </c>
      <c r="U32">
        <v>19.399999999999999</v>
      </c>
      <c r="V32">
        <v>374.83</v>
      </c>
      <c r="X32">
        <v>13.55</v>
      </c>
      <c r="Y32">
        <v>1414.89</v>
      </c>
      <c r="Z32">
        <v>293.77999999999997</v>
      </c>
      <c r="AA32">
        <v>3496.04</v>
      </c>
      <c r="AB32">
        <v>1274.28</v>
      </c>
      <c r="AC32">
        <v>109.16</v>
      </c>
      <c r="AD32">
        <v>-3931.99</v>
      </c>
      <c r="AE32">
        <v>164.37</v>
      </c>
      <c r="AF32">
        <v>0</v>
      </c>
      <c r="AG32">
        <v>15.88</v>
      </c>
      <c r="AH32">
        <v>1723.1</v>
      </c>
      <c r="AL32">
        <v>1096.42</v>
      </c>
      <c r="AM32">
        <v>2896.3</v>
      </c>
      <c r="AN32">
        <v>512.05999999999995</v>
      </c>
      <c r="AO32">
        <v>668.26</v>
      </c>
      <c r="AP32">
        <v>302.8</v>
      </c>
      <c r="AQ32">
        <v>296.70999999999998</v>
      </c>
      <c r="AR32">
        <v>0</v>
      </c>
      <c r="AS32">
        <v>144.72</v>
      </c>
      <c r="AT32">
        <v>3.52</v>
      </c>
      <c r="AU32">
        <v>10.16</v>
      </c>
      <c r="AV32">
        <v>11.55</v>
      </c>
      <c r="AX32">
        <v>1988.73</v>
      </c>
      <c r="AY32">
        <v>330.16</v>
      </c>
      <c r="AZ32">
        <v>10.16</v>
      </c>
      <c r="BA32">
        <v>793.08</v>
      </c>
      <c r="BB32">
        <v>106.8</v>
      </c>
    </row>
    <row r="33" spans="1:55" ht="13.5" thickBot="1" x14ac:dyDescent="0.25">
      <c r="A33" s="106" t="s">
        <v>58</v>
      </c>
      <c r="B33" s="116">
        <f>SUM(B21:B32)</f>
        <v>0</v>
      </c>
      <c r="C33" s="116">
        <f>SUM(C21:C32)</f>
        <v>661.1</v>
      </c>
      <c r="D33" s="116"/>
      <c r="E33" s="116">
        <f t="shared" ref="E33:AY33" si="5">SUM(E21:E32)</f>
        <v>390.34</v>
      </c>
      <c r="F33" s="116">
        <f t="shared" si="5"/>
        <v>1238.8900000000001</v>
      </c>
      <c r="G33" s="117">
        <f t="shared" si="5"/>
        <v>0</v>
      </c>
      <c r="H33" s="116">
        <f t="shared" si="5"/>
        <v>703.77</v>
      </c>
      <c r="I33" s="117">
        <f t="shared" si="5"/>
        <v>3011.8100000000004</v>
      </c>
      <c r="J33" s="118">
        <f t="shared" si="5"/>
        <v>0</v>
      </c>
      <c r="K33" s="117">
        <f t="shared" si="5"/>
        <v>1042.8999999999996</v>
      </c>
      <c r="L33" s="117">
        <f t="shared" si="5"/>
        <v>228.8</v>
      </c>
      <c r="M33" s="117">
        <f t="shared" si="5"/>
        <v>1680.4000000000003</v>
      </c>
      <c r="N33" s="117">
        <f t="shared" si="5"/>
        <v>440.06999999999994</v>
      </c>
      <c r="O33" s="119">
        <f t="shared" si="5"/>
        <v>893.42999999999972</v>
      </c>
      <c r="P33" s="117">
        <f t="shared" si="5"/>
        <v>490.69999999999993</v>
      </c>
      <c r="Q33" s="119">
        <f t="shared" si="5"/>
        <v>3122.4800000000009</v>
      </c>
      <c r="R33" s="119">
        <f t="shared" si="5"/>
        <v>1041.8</v>
      </c>
      <c r="S33" s="119">
        <f t="shared" si="5"/>
        <v>3958.9799999999996</v>
      </c>
      <c r="T33" s="117">
        <f t="shared" si="5"/>
        <v>0</v>
      </c>
      <c r="U33" s="119">
        <f t="shared" si="5"/>
        <v>226.82999999999998</v>
      </c>
      <c r="V33" s="119">
        <f t="shared" si="5"/>
        <v>2154.08</v>
      </c>
      <c r="W33" s="117">
        <f t="shared" si="5"/>
        <v>175.14000000000004</v>
      </c>
      <c r="X33" s="119">
        <f t="shared" si="5"/>
        <v>162.60000000000002</v>
      </c>
      <c r="Y33" s="119">
        <f t="shared" si="5"/>
        <v>6762.84</v>
      </c>
      <c r="Z33" s="119">
        <f t="shared" si="5"/>
        <v>1560.28</v>
      </c>
      <c r="AA33" s="119">
        <f t="shared" si="5"/>
        <v>22008.9</v>
      </c>
      <c r="AB33" s="119">
        <f t="shared" si="5"/>
        <v>19464.269999999997</v>
      </c>
      <c r="AC33" s="119">
        <f>SUM(AC21:AC32)</f>
        <v>28720.010000000002</v>
      </c>
      <c r="AD33" s="119">
        <f>SUM(AD21:AD32)</f>
        <v>56152.28</v>
      </c>
      <c r="AE33" s="119"/>
      <c r="AF33" s="119">
        <f>SUM(AF21:AF32)</f>
        <v>73836.81</v>
      </c>
      <c r="AG33" s="119">
        <f>SUM(AG21:AG32)</f>
        <v>60992.92</v>
      </c>
      <c r="AH33" s="119">
        <f>SUM(AH21:AH32)</f>
        <v>110114.65000000001</v>
      </c>
      <c r="AI33" s="119">
        <f>SUM(AI21:AI32)</f>
        <v>0</v>
      </c>
      <c r="AJ33" s="119">
        <f>SUM(AJ21:AJ32)</f>
        <v>52021.4</v>
      </c>
      <c r="AK33" s="119">
        <f t="shared" si="5"/>
        <v>0</v>
      </c>
      <c r="AL33" s="119">
        <f t="shared" si="5"/>
        <v>71762.679999999993</v>
      </c>
      <c r="AM33" s="117">
        <f t="shared" si="5"/>
        <v>239749.43</v>
      </c>
      <c r="AN33" s="117">
        <f t="shared" si="5"/>
        <v>118917.51</v>
      </c>
      <c r="AO33" s="119">
        <f t="shared" si="5"/>
        <v>119968.18999999999</v>
      </c>
      <c r="AP33" s="119">
        <f t="shared" si="5"/>
        <v>129575.74</v>
      </c>
      <c r="AQ33" s="119">
        <f t="shared" si="5"/>
        <v>59404.44</v>
      </c>
      <c r="AR33" s="119">
        <f t="shared" si="5"/>
        <v>60044.85</v>
      </c>
      <c r="AS33" s="119">
        <f t="shared" si="5"/>
        <v>21378.420000000002</v>
      </c>
      <c r="AT33" s="119">
        <f t="shared" si="5"/>
        <v>49779.45</v>
      </c>
      <c r="AU33" s="119">
        <f t="shared" si="5"/>
        <v>121.91999999999997</v>
      </c>
      <c r="AV33" s="119">
        <f t="shared" si="5"/>
        <v>204.49</v>
      </c>
      <c r="AW33" s="119">
        <f t="shared" si="5"/>
        <v>697.09999999999991</v>
      </c>
      <c r="AX33" s="119">
        <f>SUM(AX21:AX32)</f>
        <v>51886.200000000004</v>
      </c>
      <c r="AY33" s="119">
        <f t="shared" si="5"/>
        <v>1998.3799999999999</v>
      </c>
      <c r="AZ33" s="133"/>
      <c r="BA33" s="133"/>
      <c r="BB33" s="133"/>
      <c r="BC33" s="120"/>
    </row>
    <row r="34" spans="1:55" ht="13.5" thickTop="1" x14ac:dyDescent="0.2">
      <c r="A34" s="120"/>
      <c r="B34" s="120" t="str">
        <f t="shared" ref="B34:AY34" si="6">IF(B16=0,"",(B33/B16))</f>
        <v/>
      </c>
      <c r="C34" s="120" t="str">
        <f t="shared" si="6"/>
        <v/>
      </c>
      <c r="D34" s="120" t="str">
        <f t="shared" si="6"/>
        <v/>
      </c>
      <c r="E34" s="120">
        <f t="shared" si="6"/>
        <v>13.841843971631205</v>
      </c>
      <c r="F34" s="120" t="str">
        <f t="shared" si="6"/>
        <v/>
      </c>
      <c r="G34" s="120" t="str">
        <f t="shared" si="6"/>
        <v/>
      </c>
      <c r="H34" s="120">
        <f t="shared" si="6"/>
        <v>9.6671703296703306</v>
      </c>
      <c r="I34" s="120" t="str">
        <f t="shared" si="6"/>
        <v/>
      </c>
      <c r="J34" s="120" t="str">
        <f t="shared" si="6"/>
        <v/>
      </c>
      <c r="K34" s="120">
        <f t="shared" si="6"/>
        <v>9.3199285075960638</v>
      </c>
      <c r="L34" s="120">
        <f t="shared" si="6"/>
        <v>28.246913580246915</v>
      </c>
      <c r="M34" s="120">
        <f t="shared" si="6"/>
        <v>8.7067357512953389</v>
      </c>
      <c r="N34" s="120">
        <f t="shared" si="6"/>
        <v>8.1949720670391049</v>
      </c>
      <c r="O34" s="120">
        <f t="shared" si="6"/>
        <v>9.3357366771159835</v>
      </c>
      <c r="P34" s="120">
        <f t="shared" si="6"/>
        <v>13.745098039215684</v>
      </c>
      <c r="Q34" s="120">
        <f t="shared" si="6"/>
        <v>8.0872312872312886</v>
      </c>
      <c r="R34" s="120">
        <f t="shared" si="6"/>
        <v>8.7767481044650371</v>
      </c>
      <c r="S34" s="120">
        <f t="shared" si="6"/>
        <v>8.0845007147232995</v>
      </c>
      <c r="T34" s="120" t="str">
        <f t="shared" si="6"/>
        <v/>
      </c>
      <c r="U34" s="120">
        <f t="shared" si="6"/>
        <v>24.655434782608697</v>
      </c>
      <c r="V34" s="120">
        <f t="shared" si="6"/>
        <v>11.295647614053488</v>
      </c>
      <c r="W34" s="120">
        <f t="shared" si="6"/>
        <v>43.785000000000011</v>
      </c>
      <c r="X34" s="120" t="str">
        <f t="shared" si="6"/>
        <v/>
      </c>
      <c r="Y34" s="120">
        <f t="shared" si="6"/>
        <v>7.8655966503838108</v>
      </c>
      <c r="Z34" s="120">
        <f t="shared" si="6"/>
        <v>8.5588590235874928</v>
      </c>
      <c r="AA34" s="120">
        <f t="shared" si="6"/>
        <v>7.5644956178037468</v>
      </c>
      <c r="AB34" s="120">
        <f t="shared" si="6"/>
        <v>7.7975602916432969</v>
      </c>
      <c r="AC34" s="120">
        <f t="shared" si="6"/>
        <v>12.298736724905792</v>
      </c>
      <c r="AD34" s="120">
        <f t="shared" si="6"/>
        <v>6.1726830019017465</v>
      </c>
      <c r="AE34" s="120" t="str">
        <f t="shared" si="6"/>
        <v/>
      </c>
      <c r="AF34" s="120">
        <f t="shared" si="6"/>
        <v>6.0645752396284216</v>
      </c>
      <c r="AG34" s="120">
        <f t="shared" si="6"/>
        <v>6.373212681030699</v>
      </c>
      <c r="AH34" s="120">
        <f t="shared" si="6"/>
        <v>5.8423698508032862</v>
      </c>
      <c r="AI34" s="120" t="str">
        <f t="shared" si="6"/>
        <v/>
      </c>
      <c r="AJ34" s="120">
        <f t="shared" si="6"/>
        <v>7.3428845665245746</v>
      </c>
      <c r="AK34" s="120" t="str">
        <f t="shared" si="6"/>
        <v/>
      </c>
      <c r="AL34" s="120">
        <f t="shared" si="6"/>
        <v>6.7157049542383351</v>
      </c>
      <c r="AM34" s="120">
        <f t="shared" si="6"/>
        <v>7.2987305201822936</v>
      </c>
      <c r="AN34" s="120">
        <f t="shared" si="6"/>
        <v>6.3273515233423074</v>
      </c>
      <c r="AO34" s="120">
        <f t="shared" si="6"/>
        <v>5.8277723262863361</v>
      </c>
      <c r="AP34" s="120">
        <f t="shared" si="6"/>
        <v>5.9963783608681567</v>
      </c>
      <c r="AQ34" s="120">
        <f t="shared" si="6"/>
        <v>6.1434226855299086</v>
      </c>
      <c r="AR34" s="120">
        <f t="shared" si="6"/>
        <v>5.9071935226814363</v>
      </c>
      <c r="AS34" s="120">
        <f t="shared" si="6"/>
        <v>4.4272738568588474</v>
      </c>
      <c r="AT34" s="120">
        <f t="shared" si="6"/>
        <v>6.8244314053438977</v>
      </c>
      <c r="AU34" s="120" t="str">
        <f t="shared" si="6"/>
        <v/>
      </c>
      <c r="AV34" s="120">
        <f t="shared" si="6"/>
        <v>28.80140845070423</v>
      </c>
      <c r="AW34" s="120">
        <f t="shared" si="6"/>
        <v>10.059163059163058</v>
      </c>
      <c r="AX34" s="120">
        <f t="shared" si="6"/>
        <v>6.304520048602674</v>
      </c>
      <c r="AY34" s="120">
        <f t="shared" si="6"/>
        <v>8.5583725910064228</v>
      </c>
      <c r="AZ34" s="120"/>
      <c r="BA34" s="120"/>
      <c r="BB34" s="120"/>
      <c r="BC34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"/>
  <sheetViews>
    <sheetView topLeftCell="AC1" workbookViewId="0">
      <selection activeCell="AY2" sqref="AY2"/>
    </sheetView>
  </sheetViews>
  <sheetFormatPr defaultRowHeight="12.75" x14ac:dyDescent="0.2"/>
  <cols>
    <col min="29" max="29" width="11.28515625" customWidth="1"/>
    <col min="30" max="30" width="13.42578125" customWidth="1"/>
    <col min="34" max="34" width="10.5703125" customWidth="1"/>
    <col min="43" max="43" width="13.5703125" customWidth="1"/>
    <col min="44" max="44" width="12.28515625" customWidth="1"/>
    <col min="45" max="45" width="12.140625" customWidth="1"/>
    <col min="46" max="46" width="11.5703125" customWidth="1"/>
    <col min="50" max="50" width="11.140625" customWidth="1"/>
    <col min="51" max="51" width="20.140625" customWidth="1"/>
    <col min="53" max="53" width="11.42578125" customWidth="1"/>
    <col min="55" max="55" width="12.85546875" customWidth="1"/>
  </cols>
  <sheetData>
    <row r="1" spans="1:55" x14ac:dyDescent="0.2">
      <c r="A1" s="1" t="s">
        <v>64</v>
      </c>
      <c r="B1" s="47">
        <v>594386</v>
      </c>
      <c r="C1" s="26">
        <v>1588956</v>
      </c>
      <c r="D1" s="26"/>
      <c r="E1" s="48">
        <v>33513</v>
      </c>
      <c r="F1" s="48">
        <v>33514</v>
      </c>
      <c r="G1" s="48">
        <v>105744</v>
      </c>
      <c r="H1" s="49">
        <v>263686</v>
      </c>
      <c r="I1" s="26">
        <v>263691</v>
      </c>
      <c r="J1" s="48">
        <v>263754</v>
      </c>
      <c r="K1" s="48">
        <v>539243</v>
      </c>
      <c r="L1" s="26">
        <v>539246</v>
      </c>
      <c r="M1" s="26">
        <v>574126</v>
      </c>
      <c r="N1" s="26">
        <v>637887</v>
      </c>
      <c r="O1" s="26">
        <v>637888</v>
      </c>
      <c r="P1" s="26">
        <v>637889</v>
      </c>
      <c r="Q1" s="26">
        <v>637890</v>
      </c>
      <c r="R1" s="26">
        <v>637892</v>
      </c>
      <c r="S1" s="26">
        <v>647598</v>
      </c>
      <c r="T1" s="26">
        <v>647856</v>
      </c>
      <c r="U1" s="26">
        <v>687022</v>
      </c>
      <c r="V1" s="26">
        <v>687023</v>
      </c>
      <c r="W1" s="26">
        <v>687831</v>
      </c>
      <c r="X1" s="26">
        <v>740818</v>
      </c>
      <c r="Y1" s="26">
        <v>740824</v>
      </c>
      <c r="Z1" s="26">
        <v>740838</v>
      </c>
      <c r="AA1" s="26">
        <v>740876</v>
      </c>
      <c r="AB1" s="26">
        <v>740882</v>
      </c>
      <c r="AC1" s="50">
        <v>741089</v>
      </c>
      <c r="AD1" s="50">
        <v>742815</v>
      </c>
      <c r="AE1" s="26">
        <v>742950</v>
      </c>
      <c r="AF1" s="50">
        <v>749325</v>
      </c>
      <c r="AG1" s="51">
        <v>749330</v>
      </c>
      <c r="AH1" s="50">
        <v>749334</v>
      </c>
      <c r="AI1" s="52">
        <v>749339</v>
      </c>
      <c r="AJ1" s="53">
        <v>762803</v>
      </c>
      <c r="AK1" s="54">
        <v>765933</v>
      </c>
      <c r="AL1" s="53">
        <v>868849</v>
      </c>
      <c r="AM1" s="53">
        <v>869044</v>
      </c>
      <c r="AN1" s="53">
        <v>869127</v>
      </c>
      <c r="AO1" s="53">
        <v>869308</v>
      </c>
      <c r="AP1" s="53">
        <v>869309</v>
      </c>
      <c r="AQ1" s="53">
        <v>869446</v>
      </c>
      <c r="AR1" s="53">
        <v>888353</v>
      </c>
      <c r="AS1" s="53">
        <v>888354</v>
      </c>
      <c r="AT1" s="53">
        <v>888355</v>
      </c>
      <c r="AU1" s="48">
        <v>1060882</v>
      </c>
      <c r="AV1" s="26">
        <v>1064052</v>
      </c>
      <c r="AW1" s="7" t="s">
        <v>2</v>
      </c>
      <c r="AX1" s="44">
        <v>672937</v>
      </c>
      <c r="AY1" s="7" t="s">
        <v>92</v>
      </c>
      <c r="AZ1" s="7">
        <v>3452105</v>
      </c>
      <c r="BA1" s="7">
        <v>9224993</v>
      </c>
      <c r="BB1" s="7">
        <v>10471</v>
      </c>
      <c r="BC1" s="1"/>
    </row>
    <row r="2" spans="1:55" ht="51" x14ac:dyDescent="0.2">
      <c r="A2" s="99">
        <v>2015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/>
    </row>
    <row r="3" spans="1:55" x14ac:dyDescent="0.2">
      <c r="A3" s="26" t="s">
        <v>59</v>
      </c>
      <c r="C3">
        <v>206</v>
      </c>
      <c r="E3">
        <v>38</v>
      </c>
      <c r="F3">
        <v>271</v>
      </c>
      <c r="H3">
        <v>360</v>
      </c>
      <c r="I3">
        <v>1154</v>
      </c>
      <c r="K3">
        <v>240</v>
      </c>
      <c r="L3">
        <v>9</v>
      </c>
      <c r="M3">
        <v>466</v>
      </c>
      <c r="N3">
        <v>131</v>
      </c>
      <c r="O3">
        <v>280</v>
      </c>
      <c r="P3">
        <v>83</v>
      </c>
      <c r="Q3">
        <v>1079</v>
      </c>
      <c r="R3">
        <v>229</v>
      </c>
      <c r="S3">
        <v>1063</v>
      </c>
      <c r="U3">
        <v>7</v>
      </c>
      <c r="V3">
        <v>474</v>
      </c>
      <c r="W3">
        <v>8</v>
      </c>
      <c r="X3">
        <v>0</v>
      </c>
      <c r="Y3">
        <v>2201</v>
      </c>
      <c r="Z3">
        <v>479</v>
      </c>
      <c r="AA3">
        <v>6481</v>
      </c>
      <c r="AB3">
        <v>2948</v>
      </c>
      <c r="AC3">
        <v>49</v>
      </c>
      <c r="AD3">
        <v>0</v>
      </c>
      <c r="AE3">
        <v>245</v>
      </c>
      <c r="AF3">
        <v>0</v>
      </c>
      <c r="AG3">
        <v>18</v>
      </c>
      <c r="AH3">
        <v>0</v>
      </c>
      <c r="AJ3">
        <v>152</v>
      </c>
      <c r="AL3">
        <v>1029</v>
      </c>
      <c r="AM3">
        <v>1449</v>
      </c>
      <c r="AN3">
        <v>623</v>
      </c>
      <c r="AO3">
        <v>149</v>
      </c>
      <c r="AP3">
        <v>0</v>
      </c>
      <c r="AQ3">
        <v>498</v>
      </c>
      <c r="AR3">
        <v>0</v>
      </c>
      <c r="AS3">
        <v>248</v>
      </c>
      <c r="AT3">
        <v>5</v>
      </c>
      <c r="AU3">
        <v>0</v>
      </c>
      <c r="AV3">
        <v>1</v>
      </c>
      <c r="AW3">
        <v>283</v>
      </c>
      <c r="AX3">
        <v>0</v>
      </c>
      <c r="AY3">
        <v>571</v>
      </c>
      <c r="AZ3">
        <v>0</v>
      </c>
      <c r="BA3">
        <v>225</v>
      </c>
      <c r="BB3">
        <v>216</v>
      </c>
    </row>
    <row r="4" spans="1:55" x14ac:dyDescent="0.2">
      <c r="A4" s="25" t="s">
        <v>42</v>
      </c>
      <c r="C4">
        <v>196</v>
      </c>
      <c r="E4">
        <v>41</v>
      </c>
      <c r="F4">
        <v>370</v>
      </c>
      <c r="H4">
        <v>225</v>
      </c>
      <c r="I4">
        <v>870</v>
      </c>
      <c r="K4">
        <v>258</v>
      </c>
      <c r="L4">
        <v>9</v>
      </c>
      <c r="M4">
        <v>576</v>
      </c>
      <c r="N4">
        <v>143</v>
      </c>
      <c r="O4">
        <v>245</v>
      </c>
      <c r="P4">
        <v>86</v>
      </c>
      <c r="Q4">
        <v>876</v>
      </c>
      <c r="R4">
        <v>191</v>
      </c>
      <c r="S4">
        <v>952</v>
      </c>
      <c r="U4">
        <v>6</v>
      </c>
      <c r="V4">
        <v>597</v>
      </c>
      <c r="W4">
        <v>5</v>
      </c>
      <c r="X4">
        <v>0</v>
      </c>
      <c r="Y4">
        <v>1939</v>
      </c>
      <c r="Z4">
        <v>461</v>
      </c>
      <c r="AA4">
        <v>6384</v>
      </c>
      <c r="AB4">
        <v>3464</v>
      </c>
      <c r="AC4">
        <v>91</v>
      </c>
      <c r="AD4">
        <v>0</v>
      </c>
      <c r="AE4">
        <v>280</v>
      </c>
      <c r="AF4">
        <v>0</v>
      </c>
      <c r="AG4">
        <v>1442</v>
      </c>
      <c r="AH4">
        <v>0</v>
      </c>
      <c r="AJ4">
        <v>201</v>
      </c>
      <c r="AL4">
        <v>1006</v>
      </c>
      <c r="AM4">
        <v>32</v>
      </c>
      <c r="AN4">
        <v>620</v>
      </c>
      <c r="AO4">
        <v>0</v>
      </c>
      <c r="AP4">
        <v>0</v>
      </c>
      <c r="AQ4">
        <v>479</v>
      </c>
      <c r="AR4">
        <v>0</v>
      </c>
      <c r="AS4">
        <v>324</v>
      </c>
      <c r="AT4">
        <v>1190</v>
      </c>
      <c r="AU4">
        <v>0</v>
      </c>
      <c r="AV4">
        <v>0</v>
      </c>
      <c r="AW4">
        <v>179</v>
      </c>
      <c r="AX4">
        <v>0</v>
      </c>
      <c r="AY4">
        <v>624</v>
      </c>
      <c r="AZ4">
        <v>0</v>
      </c>
      <c r="BA4">
        <v>246</v>
      </c>
      <c r="BB4">
        <v>198</v>
      </c>
    </row>
    <row r="5" spans="1:55" x14ac:dyDescent="0.2">
      <c r="A5" s="25" t="s">
        <v>43</v>
      </c>
      <c r="C5">
        <v>129</v>
      </c>
      <c r="E5">
        <v>30</v>
      </c>
      <c r="F5">
        <v>175</v>
      </c>
      <c r="H5">
        <v>265</v>
      </c>
      <c r="I5">
        <v>816</v>
      </c>
      <c r="K5">
        <v>117</v>
      </c>
      <c r="L5">
        <v>7</v>
      </c>
      <c r="M5">
        <v>221</v>
      </c>
      <c r="N5">
        <v>48</v>
      </c>
      <c r="O5">
        <v>105</v>
      </c>
      <c r="P5">
        <v>46</v>
      </c>
      <c r="Q5">
        <v>640</v>
      </c>
      <c r="R5">
        <v>140</v>
      </c>
      <c r="S5">
        <v>445</v>
      </c>
      <c r="U5">
        <v>6</v>
      </c>
      <c r="V5">
        <v>249</v>
      </c>
      <c r="W5">
        <v>6</v>
      </c>
      <c r="X5">
        <v>0</v>
      </c>
      <c r="Y5">
        <v>111</v>
      </c>
      <c r="Z5">
        <v>179</v>
      </c>
      <c r="AA5">
        <v>2943</v>
      </c>
      <c r="AB5">
        <v>1359</v>
      </c>
      <c r="AC5">
        <v>23</v>
      </c>
      <c r="AD5">
        <v>0</v>
      </c>
      <c r="AE5">
        <v>111</v>
      </c>
      <c r="AF5">
        <v>0</v>
      </c>
      <c r="AG5">
        <v>2</v>
      </c>
      <c r="AH5">
        <v>0</v>
      </c>
      <c r="AJ5">
        <v>243</v>
      </c>
      <c r="AL5">
        <v>818</v>
      </c>
      <c r="AM5">
        <v>3</v>
      </c>
      <c r="AN5">
        <v>315</v>
      </c>
      <c r="AO5">
        <v>0</v>
      </c>
      <c r="AP5">
        <v>0</v>
      </c>
      <c r="AQ5">
        <v>359</v>
      </c>
      <c r="AR5">
        <v>0</v>
      </c>
      <c r="AS5">
        <v>211</v>
      </c>
      <c r="AT5">
        <v>4</v>
      </c>
      <c r="AU5">
        <v>0</v>
      </c>
      <c r="AV5">
        <v>1</v>
      </c>
      <c r="AW5">
        <v>317</v>
      </c>
      <c r="AX5">
        <v>0</v>
      </c>
      <c r="AZ5">
        <v>2</v>
      </c>
      <c r="BA5">
        <v>158</v>
      </c>
      <c r="BB5">
        <v>116</v>
      </c>
    </row>
    <row r="6" spans="1:55" x14ac:dyDescent="0.2">
      <c r="A6" s="25" t="s">
        <v>44</v>
      </c>
      <c r="C6">
        <v>9</v>
      </c>
      <c r="E6">
        <v>29</v>
      </c>
      <c r="F6">
        <v>4</v>
      </c>
      <c r="H6">
        <v>103</v>
      </c>
      <c r="I6">
        <v>207</v>
      </c>
      <c r="K6">
        <v>14</v>
      </c>
      <c r="L6">
        <v>0</v>
      </c>
      <c r="M6">
        <v>9</v>
      </c>
      <c r="N6">
        <v>6</v>
      </c>
      <c r="O6">
        <v>1</v>
      </c>
      <c r="P6">
        <v>16</v>
      </c>
      <c r="Q6">
        <v>121</v>
      </c>
      <c r="R6">
        <v>61</v>
      </c>
      <c r="S6">
        <v>0</v>
      </c>
      <c r="U6">
        <v>8</v>
      </c>
      <c r="V6">
        <v>28</v>
      </c>
      <c r="W6">
        <v>3</v>
      </c>
      <c r="X6">
        <v>0</v>
      </c>
      <c r="Y6">
        <v>1138</v>
      </c>
      <c r="Z6">
        <v>1</v>
      </c>
      <c r="AA6">
        <v>1014</v>
      </c>
      <c r="AB6">
        <v>710</v>
      </c>
      <c r="AC6">
        <v>31</v>
      </c>
      <c r="AD6">
        <v>0</v>
      </c>
      <c r="AE6">
        <v>31</v>
      </c>
      <c r="AF6">
        <v>0</v>
      </c>
      <c r="AG6">
        <v>0</v>
      </c>
      <c r="AH6">
        <v>0</v>
      </c>
      <c r="AJ6">
        <v>96</v>
      </c>
      <c r="AL6">
        <v>335</v>
      </c>
      <c r="AM6">
        <v>0</v>
      </c>
      <c r="AN6">
        <v>34</v>
      </c>
      <c r="AO6">
        <v>0</v>
      </c>
      <c r="AP6">
        <v>0</v>
      </c>
      <c r="AQ6">
        <v>165</v>
      </c>
      <c r="AR6">
        <v>0</v>
      </c>
      <c r="AS6">
        <v>1</v>
      </c>
      <c r="AT6">
        <v>0</v>
      </c>
      <c r="AU6">
        <v>0</v>
      </c>
      <c r="AV6">
        <v>0</v>
      </c>
      <c r="AW6">
        <v>68</v>
      </c>
      <c r="AX6">
        <v>0</v>
      </c>
      <c r="AY6">
        <v>41</v>
      </c>
      <c r="AZ6">
        <v>0</v>
      </c>
      <c r="BA6">
        <v>282</v>
      </c>
      <c r="BB6">
        <v>39</v>
      </c>
    </row>
    <row r="7" spans="1:55" x14ac:dyDescent="0.2">
      <c r="A7" s="25" t="s">
        <v>45</v>
      </c>
      <c r="C7">
        <v>7</v>
      </c>
      <c r="E7">
        <v>27</v>
      </c>
      <c r="F7">
        <v>0</v>
      </c>
      <c r="H7">
        <v>34</v>
      </c>
      <c r="I7">
        <v>12</v>
      </c>
      <c r="K7">
        <v>1</v>
      </c>
      <c r="L7">
        <v>12</v>
      </c>
      <c r="M7">
        <v>8</v>
      </c>
      <c r="N7">
        <v>7</v>
      </c>
      <c r="O7">
        <v>0</v>
      </c>
      <c r="P7">
        <v>14</v>
      </c>
      <c r="Q7">
        <v>2</v>
      </c>
      <c r="R7">
        <v>6</v>
      </c>
      <c r="S7">
        <v>0</v>
      </c>
      <c r="U7">
        <v>5</v>
      </c>
      <c r="V7">
        <v>5</v>
      </c>
      <c r="W7">
        <v>4</v>
      </c>
      <c r="X7">
        <v>0</v>
      </c>
      <c r="Y7">
        <v>26</v>
      </c>
      <c r="Z7">
        <v>0</v>
      </c>
      <c r="AA7">
        <v>280</v>
      </c>
      <c r="AB7">
        <v>597</v>
      </c>
      <c r="AC7">
        <v>15</v>
      </c>
      <c r="AD7">
        <v>0</v>
      </c>
      <c r="AE7">
        <v>23</v>
      </c>
      <c r="AF7">
        <v>0</v>
      </c>
      <c r="AG7">
        <v>0</v>
      </c>
      <c r="AH7">
        <v>0</v>
      </c>
      <c r="AJ7">
        <v>99</v>
      </c>
      <c r="AL7">
        <v>320</v>
      </c>
      <c r="AM7">
        <v>0</v>
      </c>
      <c r="AN7">
        <v>58</v>
      </c>
      <c r="AO7">
        <v>0</v>
      </c>
      <c r="AP7">
        <v>0</v>
      </c>
      <c r="AQ7">
        <v>87</v>
      </c>
      <c r="AR7">
        <v>0</v>
      </c>
      <c r="AS7">
        <v>0</v>
      </c>
      <c r="AT7">
        <v>0</v>
      </c>
      <c r="AU7">
        <v>0</v>
      </c>
      <c r="AV7">
        <v>1</v>
      </c>
      <c r="AW7">
        <v>11</v>
      </c>
      <c r="AX7">
        <v>0</v>
      </c>
      <c r="AY7">
        <v>8</v>
      </c>
      <c r="AZ7">
        <v>0</v>
      </c>
      <c r="BA7">
        <v>9</v>
      </c>
      <c r="BB7">
        <v>9</v>
      </c>
    </row>
    <row r="8" spans="1:55" x14ac:dyDescent="0.2">
      <c r="A8" s="25" t="s">
        <v>46</v>
      </c>
      <c r="C8">
        <v>8</v>
      </c>
      <c r="E8">
        <v>25</v>
      </c>
      <c r="F8">
        <v>0</v>
      </c>
      <c r="H8">
        <v>11</v>
      </c>
      <c r="I8">
        <v>56</v>
      </c>
      <c r="K8">
        <v>0</v>
      </c>
      <c r="L8">
        <v>10</v>
      </c>
      <c r="M8">
        <v>8</v>
      </c>
      <c r="N8">
        <v>6</v>
      </c>
      <c r="O8">
        <v>0</v>
      </c>
      <c r="P8">
        <v>13</v>
      </c>
      <c r="Q8">
        <v>1</v>
      </c>
      <c r="R8">
        <v>5</v>
      </c>
      <c r="S8">
        <v>0</v>
      </c>
      <c r="U8">
        <v>5</v>
      </c>
      <c r="V8">
        <v>4</v>
      </c>
      <c r="W8">
        <v>3</v>
      </c>
      <c r="X8">
        <v>0</v>
      </c>
      <c r="Y8">
        <v>27</v>
      </c>
      <c r="Z8">
        <v>0</v>
      </c>
      <c r="AA8">
        <v>215</v>
      </c>
      <c r="AB8">
        <v>0</v>
      </c>
      <c r="AC8">
        <v>2</v>
      </c>
      <c r="AD8">
        <v>23</v>
      </c>
      <c r="AE8">
        <v>20</v>
      </c>
      <c r="AF8">
        <v>0</v>
      </c>
      <c r="AG8">
        <v>0</v>
      </c>
      <c r="AH8">
        <v>0</v>
      </c>
      <c r="AJ8">
        <v>70</v>
      </c>
      <c r="AL8">
        <v>1644</v>
      </c>
      <c r="AM8">
        <v>0</v>
      </c>
      <c r="AN8">
        <v>77</v>
      </c>
      <c r="AO8">
        <v>0</v>
      </c>
      <c r="AP8">
        <v>0</v>
      </c>
      <c r="AQ8">
        <v>39</v>
      </c>
      <c r="AR8">
        <v>13</v>
      </c>
      <c r="AS8">
        <v>0</v>
      </c>
      <c r="AT8">
        <v>0</v>
      </c>
      <c r="AU8">
        <v>0</v>
      </c>
      <c r="AV8">
        <v>0</v>
      </c>
      <c r="AW8">
        <v>16</v>
      </c>
      <c r="AX8">
        <v>0</v>
      </c>
      <c r="AY8">
        <v>5</v>
      </c>
      <c r="AZ8">
        <v>0</v>
      </c>
      <c r="BA8">
        <v>14</v>
      </c>
      <c r="BB8">
        <v>17</v>
      </c>
    </row>
    <row r="9" spans="1:55" x14ac:dyDescent="0.2">
      <c r="A9" s="25" t="s">
        <v>47</v>
      </c>
      <c r="C9">
        <v>9</v>
      </c>
      <c r="E9">
        <v>24</v>
      </c>
      <c r="F9">
        <v>0</v>
      </c>
      <c r="H9">
        <v>7</v>
      </c>
      <c r="I9">
        <v>12</v>
      </c>
      <c r="K9">
        <v>0</v>
      </c>
      <c r="L9">
        <v>11</v>
      </c>
      <c r="M9">
        <v>7</v>
      </c>
      <c r="N9">
        <v>6</v>
      </c>
      <c r="O9">
        <v>0</v>
      </c>
      <c r="P9">
        <v>13</v>
      </c>
      <c r="Q9">
        <v>0</v>
      </c>
      <c r="R9">
        <v>3</v>
      </c>
      <c r="S9">
        <v>3</v>
      </c>
      <c r="U9">
        <v>5</v>
      </c>
      <c r="V9">
        <v>4</v>
      </c>
      <c r="W9">
        <v>2</v>
      </c>
      <c r="X9">
        <v>0</v>
      </c>
      <c r="Y9">
        <v>25</v>
      </c>
      <c r="Z9">
        <v>1</v>
      </c>
      <c r="AA9">
        <v>188</v>
      </c>
      <c r="AB9">
        <v>1289</v>
      </c>
      <c r="AC9">
        <v>0</v>
      </c>
      <c r="AD9">
        <v>0</v>
      </c>
      <c r="AE9">
        <v>26</v>
      </c>
      <c r="AF9">
        <v>0</v>
      </c>
      <c r="AG9">
        <v>0</v>
      </c>
      <c r="AH9">
        <v>0</v>
      </c>
      <c r="AJ9">
        <v>0</v>
      </c>
      <c r="AL9">
        <v>0</v>
      </c>
      <c r="AM9">
        <v>44</v>
      </c>
      <c r="AN9">
        <v>7</v>
      </c>
      <c r="AO9">
        <v>0</v>
      </c>
      <c r="AP9">
        <v>0</v>
      </c>
      <c r="AQ9">
        <v>18</v>
      </c>
      <c r="AR9">
        <v>0</v>
      </c>
      <c r="AS9">
        <v>0</v>
      </c>
      <c r="AT9">
        <v>0</v>
      </c>
      <c r="AU9">
        <v>0</v>
      </c>
      <c r="AV9">
        <v>1</v>
      </c>
      <c r="AW9">
        <v>3</v>
      </c>
      <c r="AX9">
        <v>3</v>
      </c>
      <c r="AY9">
        <v>0</v>
      </c>
      <c r="AZ9">
        <v>0</v>
      </c>
      <c r="BA9">
        <v>14</v>
      </c>
      <c r="BB9">
        <v>0</v>
      </c>
    </row>
    <row r="10" spans="1:55" x14ac:dyDescent="0.2">
      <c r="A10" s="25" t="s">
        <v>48</v>
      </c>
      <c r="C10">
        <v>15</v>
      </c>
      <c r="E10">
        <v>14</v>
      </c>
      <c r="F10">
        <v>0</v>
      </c>
      <c r="H10">
        <v>6</v>
      </c>
      <c r="I10">
        <v>12</v>
      </c>
      <c r="K10">
        <v>6</v>
      </c>
      <c r="L10">
        <v>5</v>
      </c>
      <c r="M10">
        <v>8</v>
      </c>
      <c r="N10">
        <v>6</v>
      </c>
      <c r="O10">
        <v>0</v>
      </c>
      <c r="P10">
        <v>13</v>
      </c>
      <c r="Q10">
        <v>0</v>
      </c>
      <c r="R10">
        <v>1</v>
      </c>
      <c r="S10">
        <v>74</v>
      </c>
      <c r="U10">
        <v>5</v>
      </c>
      <c r="V10">
        <v>5</v>
      </c>
      <c r="W10">
        <v>2</v>
      </c>
      <c r="X10">
        <v>0</v>
      </c>
      <c r="Y10">
        <v>26</v>
      </c>
      <c r="Z10">
        <v>0</v>
      </c>
      <c r="AA10">
        <v>198</v>
      </c>
      <c r="AB10">
        <v>630</v>
      </c>
      <c r="AC10">
        <v>2011</v>
      </c>
      <c r="AD10">
        <v>55000</v>
      </c>
      <c r="AE10">
        <v>34</v>
      </c>
      <c r="AF10">
        <v>115</v>
      </c>
      <c r="AG10">
        <v>57</v>
      </c>
      <c r="AH10">
        <v>24</v>
      </c>
      <c r="AJ10">
        <v>0</v>
      </c>
      <c r="AL10">
        <v>61911</v>
      </c>
      <c r="AM10">
        <v>40957</v>
      </c>
      <c r="AN10">
        <v>3000</v>
      </c>
      <c r="AO10">
        <v>7580</v>
      </c>
      <c r="AP10">
        <v>315</v>
      </c>
      <c r="AQ10">
        <v>35</v>
      </c>
      <c r="AR10">
        <v>1</v>
      </c>
      <c r="AS10">
        <v>1</v>
      </c>
      <c r="AT10">
        <v>12</v>
      </c>
      <c r="AU10">
        <v>0</v>
      </c>
      <c r="AV10">
        <v>11</v>
      </c>
      <c r="AW10">
        <v>5</v>
      </c>
      <c r="AX10">
        <v>0</v>
      </c>
      <c r="AY10">
        <v>0</v>
      </c>
      <c r="AZ10">
        <v>0</v>
      </c>
      <c r="BA10">
        <v>108580</v>
      </c>
      <c r="BB10">
        <v>2</v>
      </c>
    </row>
    <row r="11" spans="1:55" x14ac:dyDescent="0.2">
      <c r="A11" s="25" t="s">
        <v>49</v>
      </c>
      <c r="C11">
        <v>15</v>
      </c>
      <c r="E11">
        <v>14</v>
      </c>
      <c r="F11">
        <v>0</v>
      </c>
      <c r="H11">
        <v>0</v>
      </c>
      <c r="I11">
        <v>10</v>
      </c>
      <c r="K11">
        <v>0</v>
      </c>
      <c r="L11">
        <v>4</v>
      </c>
      <c r="M11">
        <v>8</v>
      </c>
      <c r="N11">
        <v>6</v>
      </c>
      <c r="O11">
        <v>1</v>
      </c>
      <c r="P11">
        <v>15</v>
      </c>
      <c r="Q11">
        <v>0</v>
      </c>
      <c r="R11">
        <v>0</v>
      </c>
      <c r="S11">
        <v>376</v>
      </c>
      <c r="U11">
        <v>5</v>
      </c>
      <c r="V11">
        <v>0</v>
      </c>
      <c r="W11">
        <v>2</v>
      </c>
      <c r="X11">
        <v>0</v>
      </c>
      <c r="Y11">
        <v>28</v>
      </c>
      <c r="Z11">
        <v>0</v>
      </c>
      <c r="AA11">
        <v>264</v>
      </c>
      <c r="AB11">
        <v>1415</v>
      </c>
      <c r="AC11">
        <v>35837</v>
      </c>
      <c r="AD11">
        <v>0</v>
      </c>
      <c r="AE11">
        <v>40</v>
      </c>
      <c r="AF11">
        <v>35000</v>
      </c>
      <c r="AG11">
        <v>16680</v>
      </c>
      <c r="AH11">
        <v>0</v>
      </c>
      <c r="AJ11">
        <v>34022</v>
      </c>
      <c r="AL11">
        <v>0</v>
      </c>
      <c r="AM11">
        <v>176309</v>
      </c>
      <c r="AN11">
        <v>72268</v>
      </c>
      <c r="AO11">
        <v>106004</v>
      </c>
      <c r="AP11">
        <v>17000</v>
      </c>
      <c r="AQ11">
        <v>30000</v>
      </c>
      <c r="AR11">
        <v>33000</v>
      </c>
      <c r="AS11">
        <v>33000</v>
      </c>
      <c r="AT11">
        <v>5899</v>
      </c>
      <c r="AU11">
        <v>0</v>
      </c>
      <c r="AV11">
        <v>7</v>
      </c>
      <c r="AW11">
        <v>2</v>
      </c>
      <c r="AX11">
        <v>336000</v>
      </c>
      <c r="AY11">
        <v>0</v>
      </c>
      <c r="AZ11">
        <v>0</v>
      </c>
      <c r="BA11">
        <v>0</v>
      </c>
      <c r="BB11">
        <v>3</v>
      </c>
    </row>
    <row r="12" spans="1:55" x14ac:dyDescent="0.2">
      <c r="A12" s="25" t="s">
        <v>50</v>
      </c>
      <c r="C12">
        <v>16</v>
      </c>
      <c r="E12">
        <v>26</v>
      </c>
      <c r="F12">
        <v>13</v>
      </c>
      <c r="H12">
        <v>0</v>
      </c>
      <c r="I12">
        <v>11</v>
      </c>
      <c r="K12">
        <v>6</v>
      </c>
      <c r="L12">
        <v>8</v>
      </c>
      <c r="M12">
        <v>7</v>
      </c>
      <c r="N12">
        <v>6</v>
      </c>
      <c r="O12">
        <v>10</v>
      </c>
      <c r="P12">
        <v>15</v>
      </c>
      <c r="Q12">
        <v>47</v>
      </c>
      <c r="R12">
        <v>41</v>
      </c>
      <c r="S12">
        <v>240</v>
      </c>
      <c r="U12">
        <v>6</v>
      </c>
      <c r="V12">
        <v>6</v>
      </c>
      <c r="W12">
        <v>3</v>
      </c>
      <c r="X12">
        <v>0</v>
      </c>
      <c r="Y12">
        <v>71</v>
      </c>
      <c r="Z12">
        <v>1</v>
      </c>
      <c r="AA12">
        <v>990</v>
      </c>
      <c r="AB12">
        <v>841</v>
      </c>
      <c r="AC12">
        <v>2</v>
      </c>
      <c r="AD12">
        <v>21671</v>
      </c>
      <c r="AE12">
        <v>76</v>
      </c>
      <c r="AF12">
        <v>61889</v>
      </c>
      <c r="AG12">
        <v>54513</v>
      </c>
      <c r="AH12">
        <v>100919</v>
      </c>
      <c r="AJ12">
        <v>15000</v>
      </c>
      <c r="AL12">
        <v>16092</v>
      </c>
      <c r="AM12">
        <v>22126</v>
      </c>
      <c r="AN12">
        <v>35268</v>
      </c>
      <c r="AO12">
        <v>68363</v>
      </c>
      <c r="AP12">
        <v>130977</v>
      </c>
      <c r="AQ12">
        <v>46698</v>
      </c>
      <c r="AR12">
        <v>62237</v>
      </c>
      <c r="AS12">
        <v>18780</v>
      </c>
      <c r="AT12">
        <v>49831</v>
      </c>
      <c r="AU12">
        <v>0</v>
      </c>
      <c r="AV12">
        <v>3</v>
      </c>
      <c r="AW12">
        <v>2</v>
      </c>
      <c r="AX12">
        <v>10784</v>
      </c>
      <c r="AY12">
        <v>15</v>
      </c>
      <c r="AZ12">
        <v>0</v>
      </c>
      <c r="BA12">
        <v>30001</v>
      </c>
      <c r="BB12">
        <v>8</v>
      </c>
    </row>
    <row r="13" spans="1:55" x14ac:dyDescent="0.2">
      <c r="A13" s="25" t="s">
        <v>51</v>
      </c>
      <c r="C13">
        <v>9</v>
      </c>
      <c r="E13">
        <v>38</v>
      </c>
      <c r="F13">
        <v>210</v>
      </c>
      <c r="H13">
        <v>0</v>
      </c>
      <c r="I13">
        <v>44</v>
      </c>
      <c r="K13">
        <v>74</v>
      </c>
      <c r="L13">
        <v>6</v>
      </c>
      <c r="M13">
        <v>69</v>
      </c>
      <c r="N13">
        <v>31</v>
      </c>
      <c r="O13">
        <v>133</v>
      </c>
      <c r="P13">
        <v>29</v>
      </c>
      <c r="Q13">
        <v>426</v>
      </c>
      <c r="R13">
        <v>145</v>
      </c>
      <c r="S13">
        <v>459</v>
      </c>
      <c r="U13">
        <v>7</v>
      </c>
      <c r="V13">
        <v>211</v>
      </c>
      <c r="W13">
        <v>5</v>
      </c>
      <c r="X13">
        <v>0</v>
      </c>
      <c r="Y13">
        <v>870</v>
      </c>
      <c r="Z13">
        <v>150</v>
      </c>
      <c r="AA13">
        <v>3550</v>
      </c>
      <c r="AB13">
        <v>764</v>
      </c>
      <c r="AC13">
        <v>28</v>
      </c>
      <c r="AD13">
        <v>0</v>
      </c>
      <c r="AE13">
        <v>129</v>
      </c>
      <c r="AF13">
        <v>1550</v>
      </c>
      <c r="AG13">
        <v>12635</v>
      </c>
      <c r="AH13">
        <v>3770</v>
      </c>
      <c r="AJ13">
        <v>1581</v>
      </c>
      <c r="AL13">
        <v>1617</v>
      </c>
      <c r="AM13">
        <v>4235</v>
      </c>
      <c r="AN13">
        <v>10829</v>
      </c>
      <c r="AO13">
        <v>3177</v>
      </c>
      <c r="AP13">
        <v>9584</v>
      </c>
      <c r="AQ13">
        <v>2984</v>
      </c>
      <c r="AR13">
        <v>0</v>
      </c>
      <c r="AS13">
        <v>751</v>
      </c>
      <c r="AT13">
        <v>21226</v>
      </c>
      <c r="AU13">
        <v>0</v>
      </c>
      <c r="AV13">
        <v>2</v>
      </c>
      <c r="AW13">
        <v>3</v>
      </c>
      <c r="AX13">
        <v>2279</v>
      </c>
      <c r="AY13">
        <v>150</v>
      </c>
      <c r="AZ13">
        <v>0</v>
      </c>
      <c r="BA13">
        <v>69862</v>
      </c>
      <c r="BB13">
        <v>48</v>
      </c>
    </row>
    <row r="14" spans="1:55" x14ac:dyDescent="0.2">
      <c r="A14" s="25" t="s">
        <v>52</v>
      </c>
      <c r="C14">
        <v>9</v>
      </c>
      <c r="E14">
        <v>29</v>
      </c>
      <c r="F14">
        <v>332</v>
      </c>
      <c r="H14">
        <v>0</v>
      </c>
      <c r="I14">
        <v>30</v>
      </c>
      <c r="K14">
        <v>130</v>
      </c>
      <c r="L14">
        <v>7</v>
      </c>
      <c r="M14">
        <v>234</v>
      </c>
      <c r="N14">
        <v>48</v>
      </c>
      <c r="O14">
        <v>166</v>
      </c>
      <c r="P14">
        <v>43</v>
      </c>
      <c r="Q14">
        <v>310</v>
      </c>
      <c r="R14">
        <v>175</v>
      </c>
      <c r="S14">
        <v>563</v>
      </c>
      <c r="U14">
        <v>7</v>
      </c>
      <c r="V14">
        <v>259</v>
      </c>
      <c r="X14">
        <v>0</v>
      </c>
      <c r="Y14">
        <v>1348</v>
      </c>
      <c r="Z14">
        <v>251</v>
      </c>
      <c r="AA14">
        <v>3505</v>
      </c>
      <c r="AB14">
        <v>1176</v>
      </c>
      <c r="AC14">
        <v>42</v>
      </c>
      <c r="AD14">
        <v>0</v>
      </c>
      <c r="AE14">
        <v>102</v>
      </c>
      <c r="AF14">
        <v>195</v>
      </c>
      <c r="AG14">
        <v>0</v>
      </c>
      <c r="AH14">
        <v>317</v>
      </c>
      <c r="AL14">
        <v>876</v>
      </c>
      <c r="AM14">
        <v>404</v>
      </c>
      <c r="AN14">
        <v>1200</v>
      </c>
      <c r="AO14">
        <v>136</v>
      </c>
      <c r="AP14">
        <v>2537</v>
      </c>
      <c r="AQ14">
        <v>418</v>
      </c>
      <c r="AR14">
        <v>0</v>
      </c>
      <c r="AS14">
        <v>76</v>
      </c>
      <c r="AT14">
        <v>0</v>
      </c>
      <c r="AU14">
        <v>0</v>
      </c>
      <c r="AV14">
        <v>3</v>
      </c>
      <c r="AW14">
        <v>113</v>
      </c>
      <c r="AX14">
        <v>0</v>
      </c>
      <c r="AY14">
        <v>288</v>
      </c>
      <c r="AZ14">
        <v>10</v>
      </c>
      <c r="BA14">
        <v>657</v>
      </c>
      <c r="BB14">
        <v>92</v>
      </c>
    </row>
    <row r="15" spans="1:55" ht="13.5" thickBot="1" x14ac:dyDescent="0.25">
      <c r="A15" s="92" t="s">
        <v>58</v>
      </c>
      <c r="B15" s="93">
        <f>SUM(B3:B14)/10</f>
        <v>0</v>
      </c>
      <c r="C15" s="93">
        <f>SUM(C3:C14)/10</f>
        <v>62.8</v>
      </c>
      <c r="D15" s="93">
        <f t="shared" ref="D15:BB15" si="0">SUM(D3:D14)/10</f>
        <v>0</v>
      </c>
      <c r="E15" s="93">
        <f t="shared" si="0"/>
        <v>33.5</v>
      </c>
      <c r="F15" s="93">
        <f t="shared" si="0"/>
        <v>137.5</v>
      </c>
      <c r="G15" s="93">
        <f t="shared" si="0"/>
        <v>0</v>
      </c>
      <c r="H15" s="93">
        <f t="shared" si="0"/>
        <v>101.1</v>
      </c>
      <c r="I15" s="93">
        <f t="shared" si="0"/>
        <v>323.39999999999998</v>
      </c>
      <c r="J15" s="93">
        <f t="shared" si="0"/>
        <v>0</v>
      </c>
      <c r="K15" s="93">
        <f t="shared" si="0"/>
        <v>84.6</v>
      </c>
      <c r="L15" s="93">
        <f t="shared" si="0"/>
        <v>8.8000000000000007</v>
      </c>
      <c r="M15" s="93">
        <f t="shared" si="0"/>
        <v>162.1</v>
      </c>
      <c r="N15" s="93">
        <f t="shared" si="0"/>
        <v>44.4</v>
      </c>
      <c r="O15" s="93">
        <f t="shared" si="0"/>
        <v>94.1</v>
      </c>
      <c r="P15" s="93">
        <f t="shared" si="0"/>
        <v>38.6</v>
      </c>
      <c r="Q15" s="93">
        <f t="shared" si="0"/>
        <v>350.2</v>
      </c>
      <c r="R15" s="93">
        <f t="shared" si="0"/>
        <v>99.7</v>
      </c>
      <c r="S15" s="93">
        <f t="shared" si="0"/>
        <v>417.5</v>
      </c>
      <c r="T15" s="93">
        <f t="shared" si="0"/>
        <v>0</v>
      </c>
      <c r="U15" s="93">
        <f t="shared" si="0"/>
        <v>7.2</v>
      </c>
      <c r="V15" s="93">
        <f t="shared" si="0"/>
        <v>184.2</v>
      </c>
      <c r="W15" s="93">
        <f t="shared" si="0"/>
        <v>4.3</v>
      </c>
      <c r="X15" s="93">
        <f t="shared" si="0"/>
        <v>0</v>
      </c>
      <c r="Y15" s="93">
        <f t="shared" si="0"/>
        <v>781</v>
      </c>
      <c r="Z15" s="93">
        <f t="shared" si="0"/>
        <v>152.30000000000001</v>
      </c>
      <c r="AA15" s="93">
        <f t="shared" si="0"/>
        <v>2601.1999999999998</v>
      </c>
      <c r="AB15" s="93">
        <f t="shared" si="0"/>
        <v>1519.3</v>
      </c>
      <c r="AC15" s="93">
        <f t="shared" si="0"/>
        <v>3813.1</v>
      </c>
      <c r="AD15" s="93">
        <f t="shared" si="0"/>
        <v>7669.4</v>
      </c>
      <c r="AE15" s="93">
        <f t="shared" si="0"/>
        <v>111.7</v>
      </c>
      <c r="AF15" s="93">
        <f t="shared" si="0"/>
        <v>9874.9</v>
      </c>
      <c r="AG15" s="93">
        <f t="shared" si="0"/>
        <v>8534.7000000000007</v>
      </c>
      <c r="AH15" s="93">
        <f t="shared" si="0"/>
        <v>10503</v>
      </c>
      <c r="AI15" s="93">
        <f t="shared" si="0"/>
        <v>0</v>
      </c>
      <c r="AJ15" s="93">
        <f t="shared" si="0"/>
        <v>5146.3999999999996</v>
      </c>
      <c r="AK15" s="93">
        <f t="shared" si="0"/>
        <v>0</v>
      </c>
      <c r="AL15" s="93">
        <f t="shared" si="0"/>
        <v>8564.7999999999993</v>
      </c>
      <c r="AM15" s="93">
        <f t="shared" si="0"/>
        <v>24555.9</v>
      </c>
      <c r="AN15" s="93">
        <f t="shared" si="0"/>
        <v>12429.9</v>
      </c>
      <c r="AO15" s="93">
        <f t="shared" si="0"/>
        <v>18540.900000000001</v>
      </c>
      <c r="AP15" s="93">
        <f t="shared" si="0"/>
        <v>16041.3</v>
      </c>
      <c r="AQ15" s="93">
        <f t="shared" si="0"/>
        <v>8178</v>
      </c>
      <c r="AR15" s="93">
        <f t="shared" si="0"/>
        <v>9525.1</v>
      </c>
      <c r="AS15" s="93">
        <f t="shared" si="0"/>
        <v>5339.2</v>
      </c>
      <c r="AT15" s="93">
        <f t="shared" si="0"/>
        <v>7816.7</v>
      </c>
      <c r="AU15" s="93">
        <f t="shared" si="0"/>
        <v>0</v>
      </c>
      <c r="AV15" s="93">
        <f t="shared" si="0"/>
        <v>3</v>
      </c>
      <c r="AW15" s="93">
        <f t="shared" si="0"/>
        <v>100.2</v>
      </c>
      <c r="AX15" s="93">
        <f t="shared" si="0"/>
        <v>34906.6</v>
      </c>
      <c r="AY15" s="93">
        <f t="shared" si="0"/>
        <v>170.2</v>
      </c>
      <c r="AZ15" s="93">
        <f t="shared" si="0"/>
        <v>1.2</v>
      </c>
      <c r="BA15" s="93">
        <f t="shared" si="0"/>
        <v>21004.799999999999</v>
      </c>
      <c r="BB15" s="93">
        <f t="shared" si="0"/>
        <v>74.8</v>
      </c>
      <c r="BC15" s="97">
        <f>SUM(B15:BB15)</f>
        <v>220113.60000000003</v>
      </c>
    </row>
    <row r="16" spans="1:55" ht="13.5" thickTop="1" x14ac:dyDescent="0.2">
      <c r="A16" s="92"/>
      <c r="B16" s="134">
        <f>SUM(B3:B14)</f>
        <v>0</v>
      </c>
      <c r="C16" s="134">
        <f t="shared" ref="C16:AE16" si="1">SUM(C3:C14)</f>
        <v>628</v>
      </c>
      <c r="D16" s="134">
        <f t="shared" si="1"/>
        <v>0</v>
      </c>
      <c r="E16" s="134">
        <f t="shared" si="1"/>
        <v>335</v>
      </c>
      <c r="F16" s="134">
        <f t="shared" si="1"/>
        <v>1375</v>
      </c>
      <c r="G16" s="134">
        <f t="shared" si="1"/>
        <v>0</v>
      </c>
      <c r="H16" s="134">
        <f t="shared" si="1"/>
        <v>1011</v>
      </c>
      <c r="I16" s="134">
        <f t="shared" si="1"/>
        <v>3234</v>
      </c>
      <c r="J16" s="134">
        <f t="shared" si="1"/>
        <v>0</v>
      </c>
      <c r="K16" s="134">
        <f t="shared" si="1"/>
        <v>846</v>
      </c>
      <c r="L16" s="134">
        <f t="shared" si="1"/>
        <v>88</v>
      </c>
      <c r="M16" s="134">
        <f t="shared" si="1"/>
        <v>1621</v>
      </c>
      <c r="N16" s="134">
        <f t="shared" si="1"/>
        <v>444</v>
      </c>
      <c r="O16" s="134">
        <f t="shared" si="1"/>
        <v>941</v>
      </c>
      <c r="P16" s="134">
        <f t="shared" si="1"/>
        <v>386</v>
      </c>
      <c r="Q16" s="134">
        <f t="shared" si="1"/>
        <v>3502</v>
      </c>
      <c r="R16" s="134">
        <f t="shared" si="1"/>
        <v>997</v>
      </c>
      <c r="S16" s="134">
        <f t="shared" si="1"/>
        <v>4175</v>
      </c>
      <c r="T16" s="134">
        <f t="shared" si="1"/>
        <v>0</v>
      </c>
      <c r="U16" s="134">
        <f t="shared" si="1"/>
        <v>72</v>
      </c>
      <c r="V16" s="134">
        <f t="shared" si="1"/>
        <v>1842</v>
      </c>
      <c r="W16" s="134">
        <f t="shared" si="1"/>
        <v>43</v>
      </c>
      <c r="X16" s="134">
        <f t="shared" si="1"/>
        <v>0</v>
      </c>
      <c r="Y16" s="134">
        <f t="shared" si="1"/>
        <v>7810</v>
      </c>
      <c r="Z16" s="134">
        <f t="shared" si="1"/>
        <v>1523</v>
      </c>
      <c r="AA16" s="134">
        <f t="shared" si="1"/>
        <v>26012</v>
      </c>
      <c r="AB16" s="134">
        <f t="shared" si="1"/>
        <v>15193</v>
      </c>
      <c r="AC16" s="134">
        <f t="shared" si="1"/>
        <v>38131</v>
      </c>
      <c r="AD16" s="134">
        <f t="shared" si="1"/>
        <v>76694</v>
      </c>
      <c r="AE16" s="134">
        <f t="shared" si="1"/>
        <v>1117</v>
      </c>
      <c r="AF16" s="135">
        <f>SUM(AF3:AF14)</f>
        <v>98749</v>
      </c>
      <c r="AG16" s="135">
        <f>SUM(AG3:AG14)</f>
        <v>85347</v>
      </c>
      <c r="AH16" s="135">
        <f t="shared" ref="AH16:BB16" si="2">SUM(AH3:AH14)</f>
        <v>105030</v>
      </c>
      <c r="AI16" s="135">
        <f t="shared" si="2"/>
        <v>0</v>
      </c>
      <c r="AJ16" s="135">
        <f t="shared" si="2"/>
        <v>51464</v>
      </c>
      <c r="AK16" s="135">
        <f t="shared" si="2"/>
        <v>0</v>
      </c>
      <c r="AL16" s="135">
        <f t="shared" si="2"/>
        <v>85648</v>
      </c>
      <c r="AM16" s="135">
        <f t="shared" si="2"/>
        <v>245559</v>
      </c>
      <c r="AN16" s="135">
        <f t="shared" si="2"/>
        <v>124299</v>
      </c>
      <c r="AO16" s="135">
        <f t="shared" si="2"/>
        <v>185409</v>
      </c>
      <c r="AP16" s="135">
        <f t="shared" si="2"/>
        <v>160413</v>
      </c>
      <c r="AQ16" s="135">
        <f t="shared" si="2"/>
        <v>81780</v>
      </c>
      <c r="AR16" s="135">
        <f t="shared" si="2"/>
        <v>95251</v>
      </c>
      <c r="AS16" s="135">
        <f t="shared" si="2"/>
        <v>53392</v>
      </c>
      <c r="AT16" s="135">
        <f t="shared" si="2"/>
        <v>78167</v>
      </c>
      <c r="AU16" s="135">
        <f t="shared" si="2"/>
        <v>0</v>
      </c>
      <c r="AV16" s="135">
        <f t="shared" si="2"/>
        <v>30</v>
      </c>
      <c r="AW16" s="135">
        <f t="shared" si="2"/>
        <v>1002</v>
      </c>
      <c r="AX16" s="135">
        <f t="shared" si="2"/>
        <v>349066</v>
      </c>
      <c r="AY16" s="135">
        <f t="shared" si="2"/>
        <v>1702</v>
      </c>
      <c r="AZ16" s="135">
        <f t="shared" si="2"/>
        <v>12</v>
      </c>
      <c r="BA16" s="135">
        <f t="shared" si="2"/>
        <v>210048</v>
      </c>
      <c r="BB16" s="135">
        <f t="shared" si="2"/>
        <v>748</v>
      </c>
      <c r="BC16" s="138">
        <f>SUM(B16:BB16)</f>
        <v>2201136</v>
      </c>
    </row>
    <row r="20" spans="1:55" x14ac:dyDescent="0.2">
      <c r="A20" s="26">
        <v>2015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/>
      <c r="BA20" s="31"/>
      <c r="BB20" s="31"/>
      <c r="BC20" s="31"/>
    </row>
    <row r="21" spans="1:55" x14ac:dyDescent="0.2">
      <c r="A21" s="106" t="s">
        <v>59</v>
      </c>
      <c r="C21">
        <v>178.27</v>
      </c>
      <c r="E21">
        <v>53.2</v>
      </c>
      <c r="F21">
        <v>230.75</v>
      </c>
      <c r="H21">
        <v>312.85000000000002</v>
      </c>
      <c r="I21">
        <v>972.94</v>
      </c>
      <c r="K21">
        <v>214.59</v>
      </c>
      <c r="L21">
        <v>21.1</v>
      </c>
      <c r="M21">
        <v>403.9</v>
      </c>
      <c r="N21">
        <v>118.99</v>
      </c>
      <c r="O21">
        <v>238.79</v>
      </c>
      <c r="P21">
        <v>94.57</v>
      </c>
      <c r="Q21">
        <v>880.54</v>
      </c>
      <c r="R21">
        <v>197.79</v>
      </c>
      <c r="S21">
        <v>868.35</v>
      </c>
      <c r="U21">
        <v>18.16</v>
      </c>
      <c r="V21">
        <v>410.48</v>
      </c>
      <c r="W21">
        <v>19.46</v>
      </c>
      <c r="X21">
        <v>13.55</v>
      </c>
      <c r="Y21">
        <v>1757.41</v>
      </c>
      <c r="Z21">
        <v>398.79</v>
      </c>
      <c r="AA21">
        <v>5040.3999999999996</v>
      </c>
      <c r="AB21">
        <v>2337.31</v>
      </c>
      <c r="AC21">
        <v>84.37</v>
      </c>
      <c r="AD21">
        <v>-3931.99</v>
      </c>
      <c r="AE21">
        <v>218.78</v>
      </c>
      <c r="AF21">
        <v>0</v>
      </c>
      <c r="AG21">
        <v>16.010000000000002</v>
      </c>
      <c r="AH21">
        <v>-1746.99</v>
      </c>
      <c r="AJ21">
        <v>134.28</v>
      </c>
      <c r="AL21">
        <v>-1297.45</v>
      </c>
      <c r="AM21">
        <v>-4626.51</v>
      </c>
      <c r="AN21">
        <v>558.61</v>
      </c>
      <c r="AO21">
        <v>-1219.0999999999999</v>
      </c>
      <c r="AP21">
        <v>0</v>
      </c>
      <c r="AQ21">
        <v>427.28</v>
      </c>
      <c r="AR21">
        <v>0</v>
      </c>
      <c r="AS21">
        <v>78.13</v>
      </c>
      <c r="AT21">
        <v>4.4400000000000004</v>
      </c>
      <c r="AU21">
        <v>10.16</v>
      </c>
      <c r="AV21">
        <v>11.52</v>
      </c>
      <c r="AW21">
        <v>247.11</v>
      </c>
      <c r="AX21">
        <v>0</v>
      </c>
      <c r="AY21">
        <v>491.32</v>
      </c>
      <c r="AZ21">
        <v>10.16</v>
      </c>
      <c r="BA21">
        <v>224.96</v>
      </c>
      <c r="BB21">
        <v>186.28</v>
      </c>
    </row>
    <row r="22" spans="1:55" x14ac:dyDescent="0.2">
      <c r="A22" s="113" t="s">
        <v>42</v>
      </c>
      <c r="C22">
        <v>165.5</v>
      </c>
      <c r="E22">
        <v>54.28</v>
      </c>
      <c r="F22">
        <v>295.93</v>
      </c>
      <c r="H22">
        <v>203.98</v>
      </c>
      <c r="I22">
        <v>749.8</v>
      </c>
      <c r="K22">
        <v>219.23</v>
      </c>
      <c r="L22">
        <v>20.74</v>
      </c>
      <c r="M22">
        <v>472.73</v>
      </c>
      <c r="N22">
        <v>123.02</v>
      </c>
      <c r="O22">
        <v>201.02</v>
      </c>
      <c r="P22">
        <v>91.89</v>
      </c>
      <c r="Q22">
        <v>682.88</v>
      </c>
      <c r="R22">
        <v>159.72999999999999</v>
      </c>
      <c r="S22">
        <v>741.67</v>
      </c>
      <c r="U22">
        <v>16.59</v>
      </c>
      <c r="V22">
        <v>488.37</v>
      </c>
      <c r="W22">
        <v>17.2</v>
      </c>
      <c r="X22">
        <v>13.55</v>
      </c>
      <c r="Y22">
        <v>1480.21</v>
      </c>
      <c r="Z22">
        <v>366.2</v>
      </c>
      <c r="AA22">
        <v>9755.3700000000008</v>
      </c>
      <c r="AB22">
        <v>2598.0100000000002</v>
      </c>
      <c r="AC22">
        <v>149.52000000000001</v>
      </c>
      <c r="AD22">
        <v>-3931.99</v>
      </c>
      <c r="AE22">
        <v>236.77</v>
      </c>
      <c r="AF22">
        <v>0</v>
      </c>
      <c r="AG22">
        <v>1305.71</v>
      </c>
      <c r="AH22">
        <v>-1746.99</v>
      </c>
      <c r="AJ22">
        <v>178.37</v>
      </c>
      <c r="AL22">
        <v>-448.17</v>
      </c>
      <c r="AM22">
        <v>-4587.8999999999996</v>
      </c>
      <c r="AN22">
        <v>530.99</v>
      </c>
      <c r="AO22">
        <v>-1219.0999999999999</v>
      </c>
      <c r="AP22">
        <v>0</v>
      </c>
      <c r="AQ22">
        <v>403.08</v>
      </c>
      <c r="AR22">
        <v>0</v>
      </c>
      <c r="AS22">
        <v>281.07</v>
      </c>
      <c r="AT22">
        <v>1077.52</v>
      </c>
      <c r="AU22">
        <v>10.16</v>
      </c>
      <c r="AV22">
        <v>10.42</v>
      </c>
      <c r="AW22">
        <v>168.04</v>
      </c>
      <c r="AX22">
        <v>0</v>
      </c>
      <c r="AY22">
        <v>516.6</v>
      </c>
      <c r="AZ22">
        <v>10.16</v>
      </c>
      <c r="BA22">
        <v>237.58</v>
      </c>
      <c r="BB22">
        <v>167.05</v>
      </c>
    </row>
    <row r="23" spans="1:55" x14ac:dyDescent="0.2">
      <c r="A23" s="113" t="s">
        <v>43</v>
      </c>
      <c r="C23">
        <v>113.72</v>
      </c>
      <c r="E23">
        <v>38.32</v>
      </c>
      <c r="F23">
        <v>123.83</v>
      </c>
      <c r="H23">
        <v>223.76</v>
      </c>
      <c r="I23">
        <v>660.8</v>
      </c>
      <c r="K23">
        <v>110.34</v>
      </c>
      <c r="L23">
        <v>19.34</v>
      </c>
      <c r="M23">
        <v>196.37</v>
      </c>
      <c r="N23">
        <v>44.18</v>
      </c>
      <c r="O23">
        <v>80.44</v>
      </c>
      <c r="P23">
        <v>52.48</v>
      </c>
      <c r="Q23">
        <v>419.96</v>
      </c>
      <c r="R23">
        <v>102.68</v>
      </c>
      <c r="S23">
        <v>316.99</v>
      </c>
      <c r="U23">
        <v>15.94</v>
      </c>
      <c r="V23">
        <v>177.95</v>
      </c>
      <c r="W23">
        <v>17.62</v>
      </c>
      <c r="X23">
        <v>13.55</v>
      </c>
      <c r="Y23">
        <v>84.25</v>
      </c>
      <c r="Z23">
        <v>127.5</v>
      </c>
      <c r="AA23">
        <v>-2990.06</v>
      </c>
      <c r="AB23">
        <v>1473.59</v>
      </c>
      <c r="AC23">
        <v>25.77</v>
      </c>
      <c r="AD23">
        <v>-3931.99</v>
      </c>
      <c r="AE23">
        <v>86.84</v>
      </c>
      <c r="AF23">
        <v>0</v>
      </c>
      <c r="AG23">
        <v>-1302.23</v>
      </c>
      <c r="AH23">
        <v>-1746.99</v>
      </c>
      <c r="AJ23">
        <v>197.04</v>
      </c>
      <c r="AL23">
        <v>10.27</v>
      </c>
      <c r="AM23">
        <v>-5401.31</v>
      </c>
      <c r="AN23">
        <v>183.13</v>
      </c>
      <c r="AO23">
        <v>-1225.81</v>
      </c>
      <c r="AP23">
        <v>0</v>
      </c>
      <c r="AQ23">
        <v>295.85000000000002</v>
      </c>
      <c r="AR23">
        <v>0</v>
      </c>
      <c r="AS23">
        <v>187.56</v>
      </c>
      <c r="AT23">
        <v>-1073.92</v>
      </c>
      <c r="AU23">
        <v>10.16</v>
      </c>
      <c r="AV23">
        <v>11.47</v>
      </c>
      <c r="AW23">
        <v>264.99</v>
      </c>
      <c r="AX23">
        <v>0</v>
      </c>
      <c r="AY23">
        <v>338.28</v>
      </c>
      <c r="AZ23">
        <v>12.11</v>
      </c>
      <c r="BA23">
        <v>156.29</v>
      </c>
      <c r="BB23">
        <v>104.13</v>
      </c>
    </row>
    <row r="24" spans="1:55" x14ac:dyDescent="0.2">
      <c r="A24" s="113" t="s">
        <v>44</v>
      </c>
      <c r="C24">
        <v>19.43</v>
      </c>
      <c r="E24">
        <v>37.04</v>
      </c>
      <c r="F24">
        <v>15.53</v>
      </c>
      <c r="H24">
        <v>84.85</v>
      </c>
      <c r="I24">
        <v>156.85</v>
      </c>
      <c r="K24">
        <v>22.77</v>
      </c>
      <c r="L24">
        <v>13.55</v>
      </c>
      <c r="M24">
        <v>19.489999999999998</v>
      </c>
      <c r="N24">
        <v>17.45</v>
      </c>
      <c r="O24">
        <v>14.3</v>
      </c>
      <c r="P24">
        <v>24.55</v>
      </c>
      <c r="Q24">
        <v>89.56</v>
      </c>
      <c r="R24">
        <v>52.27</v>
      </c>
      <c r="S24">
        <v>13.67</v>
      </c>
      <c r="U24">
        <v>17.84</v>
      </c>
      <c r="V24">
        <v>32.03</v>
      </c>
      <c r="W24">
        <v>15.12</v>
      </c>
      <c r="X24">
        <v>13.55</v>
      </c>
      <c r="Y24">
        <v>733.7</v>
      </c>
      <c r="Z24">
        <v>14.3</v>
      </c>
      <c r="AA24">
        <v>-2130.4299999999998</v>
      </c>
      <c r="AB24">
        <v>1059.8499999999999</v>
      </c>
      <c r="AC24">
        <v>34.54</v>
      </c>
      <c r="AD24">
        <v>-3931.99</v>
      </c>
      <c r="AE24">
        <v>34</v>
      </c>
      <c r="AF24">
        <v>0</v>
      </c>
      <c r="AG24">
        <v>-1302.23</v>
      </c>
      <c r="AH24">
        <v>-1746.99</v>
      </c>
      <c r="AJ24">
        <v>77.599999999999994</v>
      </c>
      <c r="AL24">
        <v>190.46</v>
      </c>
      <c r="AM24">
        <v>-5387.76</v>
      </c>
      <c r="AN24">
        <v>19.73</v>
      </c>
      <c r="AO24">
        <v>-1225.81</v>
      </c>
      <c r="AP24">
        <v>0</v>
      </c>
      <c r="AQ24">
        <v>98.41</v>
      </c>
      <c r="AR24">
        <v>0</v>
      </c>
      <c r="AS24">
        <v>0.57999999999999996</v>
      </c>
      <c r="AT24">
        <v>-1073.92</v>
      </c>
      <c r="AU24">
        <v>10.16</v>
      </c>
      <c r="AV24">
        <v>10.42</v>
      </c>
      <c r="AW24">
        <v>60.8</v>
      </c>
      <c r="AX24">
        <v>0</v>
      </c>
      <c r="AY24">
        <v>40.57</v>
      </c>
      <c r="AZ24">
        <v>10.16</v>
      </c>
      <c r="BA24">
        <v>182.68</v>
      </c>
      <c r="BB24">
        <v>38.44</v>
      </c>
    </row>
    <row r="25" spans="1:55" x14ac:dyDescent="0.2">
      <c r="A25" s="113" t="s">
        <v>45</v>
      </c>
      <c r="C25">
        <v>18.149999999999999</v>
      </c>
      <c r="E25">
        <v>35.89</v>
      </c>
      <c r="F25">
        <v>13</v>
      </c>
      <c r="H25">
        <v>35.979999999999997</v>
      </c>
      <c r="I25">
        <v>21.48</v>
      </c>
      <c r="K25">
        <v>14.21</v>
      </c>
      <c r="L25">
        <v>21.51</v>
      </c>
      <c r="M25">
        <v>18.850000000000001</v>
      </c>
      <c r="N25">
        <v>18.12</v>
      </c>
      <c r="O25">
        <v>13.67</v>
      </c>
      <c r="P25">
        <v>22.97</v>
      </c>
      <c r="Q25">
        <v>14.26</v>
      </c>
      <c r="R25">
        <v>17.48</v>
      </c>
      <c r="S25">
        <v>13.67</v>
      </c>
      <c r="U25">
        <v>15.05</v>
      </c>
      <c r="V25">
        <v>18.190000000000001</v>
      </c>
      <c r="W25">
        <v>15.62</v>
      </c>
      <c r="X25">
        <v>13.55</v>
      </c>
      <c r="Y25">
        <v>30.22</v>
      </c>
      <c r="Z25">
        <v>13.67</v>
      </c>
      <c r="AA25">
        <v>-1882.05</v>
      </c>
      <c r="AB25">
        <v>903.52</v>
      </c>
      <c r="AC25">
        <v>16.82</v>
      </c>
      <c r="AD25">
        <v>-3931.99</v>
      </c>
      <c r="AE25">
        <v>28.79</v>
      </c>
      <c r="AF25">
        <v>0</v>
      </c>
      <c r="AG25">
        <v>-1302.23</v>
      </c>
      <c r="AH25">
        <v>-1746.99</v>
      </c>
      <c r="AJ25">
        <v>75.64</v>
      </c>
      <c r="AL25">
        <v>183.05</v>
      </c>
      <c r="AM25">
        <v>-5374.21</v>
      </c>
      <c r="AN25">
        <v>33.89</v>
      </c>
      <c r="AO25">
        <v>-1225.81</v>
      </c>
      <c r="AP25">
        <v>0</v>
      </c>
      <c r="AQ25">
        <v>48.47</v>
      </c>
      <c r="AR25">
        <v>0</v>
      </c>
      <c r="AS25">
        <v>0</v>
      </c>
      <c r="AT25">
        <v>-1073.92</v>
      </c>
      <c r="AU25">
        <v>10.16</v>
      </c>
      <c r="AV25">
        <v>11.36</v>
      </c>
      <c r="AW25">
        <v>-20.12</v>
      </c>
      <c r="AX25">
        <v>0</v>
      </c>
      <c r="AY25">
        <v>18.850000000000001</v>
      </c>
      <c r="AZ25">
        <v>10.16</v>
      </c>
      <c r="BA25">
        <v>5.87</v>
      </c>
      <c r="BB25">
        <v>19.420000000000002</v>
      </c>
    </row>
    <row r="26" spans="1:55" x14ac:dyDescent="0.2">
      <c r="A26" s="113" t="s">
        <v>46</v>
      </c>
      <c r="C26">
        <v>18.8</v>
      </c>
      <c r="E26">
        <v>31.48</v>
      </c>
      <c r="F26">
        <v>13</v>
      </c>
      <c r="H26">
        <v>20.85</v>
      </c>
      <c r="I26">
        <v>50.68</v>
      </c>
      <c r="K26">
        <v>13.55</v>
      </c>
      <c r="L26">
        <v>16.88</v>
      </c>
      <c r="M26">
        <v>18.190000000000001</v>
      </c>
      <c r="N26">
        <v>17.489999999999998</v>
      </c>
      <c r="O26">
        <v>13.67</v>
      </c>
      <c r="P26">
        <v>22.9</v>
      </c>
      <c r="Q26">
        <v>13.63</v>
      </c>
      <c r="R26">
        <v>16.22</v>
      </c>
      <c r="S26">
        <v>13.67</v>
      </c>
      <c r="U26">
        <v>15.03</v>
      </c>
      <c r="V26">
        <v>16.21</v>
      </c>
      <c r="W26">
        <v>15.01</v>
      </c>
      <c r="X26">
        <v>13.55</v>
      </c>
      <c r="Y26">
        <v>30.88</v>
      </c>
      <c r="Z26">
        <v>13.67</v>
      </c>
      <c r="AA26">
        <v>-1731.34</v>
      </c>
      <c r="AB26">
        <v>409.46</v>
      </c>
      <c r="AC26">
        <v>-48.02</v>
      </c>
      <c r="AD26">
        <v>-3919.07</v>
      </c>
      <c r="AE26">
        <v>25.5</v>
      </c>
      <c r="AF26">
        <v>0</v>
      </c>
      <c r="AG26">
        <v>-1302.23</v>
      </c>
      <c r="AH26">
        <v>-1746.99</v>
      </c>
      <c r="AJ26">
        <v>57.52</v>
      </c>
      <c r="AL26">
        <v>927.54</v>
      </c>
      <c r="AM26">
        <v>-5360.66</v>
      </c>
      <c r="AN26">
        <v>-11.68</v>
      </c>
      <c r="AO26">
        <v>-1225.81</v>
      </c>
      <c r="AP26">
        <v>0</v>
      </c>
      <c r="AQ26">
        <v>21.84</v>
      </c>
      <c r="AR26">
        <v>8</v>
      </c>
      <c r="AS26">
        <v>0</v>
      </c>
      <c r="AT26">
        <v>-1073.92</v>
      </c>
      <c r="AU26">
        <v>10.16</v>
      </c>
      <c r="AV26">
        <v>10.42</v>
      </c>
      <c r="AW26">
        <v>4.03</v>
      </c>
      <c r="AX26">
        <v>0</v>
      </c>
      <c r="AY26">
        <v>14.21</v>
      </c>
      <c r="AZ26">
        <v>10.16</v>
      </c>
      <c r="BA26">
        <v>8.5</v>
      </c>
      <c r="BB26">
        <v>24.53</v>
      </c>
    </row>
    <row r="27" spans="1:55" x14ac:dyDescent="0.2">
      <c r="A27" s="113" t="s">
        <v>47</v>
      </c>
      <c r="C27">
        <v>19.46</v>
      </c>
      <c r="E27">
        <v>28.3</v>
      </c>
      <c r="F27">
        <v>13</v>
      </c>
      <c r="H27">
        <v>18.190000000000001</v>
      </c>
      <c r="I27">
        <v>21.53</v>
      </c>
      <c r="K27">
        <v>13.55</v>
      </c>
      <c r="L27">
        <v>20.86</v>
      </c>
      <c r="M27">
        <v>18.190000000000001</v>
      </c>
      <c r="N27">
        <v>17.489999999999998</v>
      </c>
      <c r="O27">
        <v>13.67</v>
      </c>
      <c r="P27">
        <v>21.97</v>
      </c>
      <c r="Q27">
        <v>13</v>
      </c>
      <c r="R27">
        <v>15.6</v>
      </c>
      <c r="S27">
        <v>15.6</v>
      </c>
      <c r="U27">
        <v>15.03</v>
      </c>
      <c r="V27">
        <v>16.21</v>
      </c>
      <c r="W27">
        <v>14.35</v>
      </c>
      <c r="X27">
        <v>13.55</v>
      </c>
      <c r="Y27">
        <v>29.62</v>
      </c>
      <c r="Z27">
        <v>14.3</v>
      </c>
      <c r="AA27">
        <v>-1597.8</v>
      </c>
      <c r="AB27">
        <v>835.61</v>
      </c>
      <c r="AC27">
        <v>-48.02</v>
      </c>
      <c r="AD27">
        <v>-3919.07</v>
      </c>
      <c r="AE27">
        <v>30.85</v>
      </c>
      <c r="AF27">
        <v>0</v>
      </c>
      <c r="AG27">
        <v>-1302.23</v>
      </c>
      <c r="AH27">
        <v>-1733.71</v>
      </c>
      <c r="AJ27">
        <v>13.63</v>
      </c>
      <c r="AL27">
        <v>8164.11</v>
      </c>
      <c r="AM27">
        <v>-5318.43</v>
      </c>
      <c r="AN27">
        <v>-7.59</v>
      </c>
      <c r="AO27">
        <v>-1225.81</v>
      </c>
      <c r="AP27">
        <v>0</v>
      </c>
      <c r="AQ27">
        <v>10.1</v>
      </c>
      <c r="AR27">
        <v>0</v>
      </c>
      <c r="AS27">
        <v>0</v>
      </c>
      <c r="AT27">
        <v>-1073.92</v>
      </c>
      <c r="AU27">
        <v>10.16</v>
      </c>
      <c r="AV27">
        <v>11.35</v>
      </c>
      <c r="AW27">
        <v>15.56</v>
      </c>
      <c r="AX27">
        <v>1.7</v>
      </c>
      <c r="AY27">
        <v>13.55</v>
      </c>
      <c r="AZ27">
        <v>10.16</v>
      </c>
      <c r="BA27">
        <v>11.76</v>
      </c>
      <c r="BB27">
        <v>13.72</v>
      </c>
    </row>
    <row r="28" spans="1:55" x14ac:dyDescent="0.2">
      <c r="A28" s="113" t="s">
        <v>48</v>
      </c>
      <c r="C28">
        <v>23.92</v>
      </c>
      <c r="E28">
        <v>24.47</v>
      </c>
      <c r="F28">
        <v>13</v>
      </c>
      <c r="H28">
        <v>17.53</v>
      </c>
      <c r="I28">
        <v>21.53</v>
      </c>
      <c r="K28">
        <v>17.53</v>
      </c>
      <c r="L28">
        <v>16.88</v>
      </c>
      <c r="M28">
        <v>18.86</v>
      </c>
      <c r="N28">
        <v>17.489999999999998</v>
      </c>
      <c r="O28">
        <v>13.67</v>
      </c>
      <c r="P28">
        <v>21.98</v>
      </c>
      <c r="Q28">
        <v>13</v>
      </c>
      <c r="R28">
        <v>14.3</v>
      </c>
      <c r="S28">
        <v>60.88</v>
      </c>
      <c r="U28">
        <v>15.04</v>
      </c>
      <c r="V28">
        <v>16.21</v>
      </c>
      <c r="W28">
        <v>14.35</v>
      </c>
      <c r="X28">
        <v>13.55</v>
      </c>
      <c r="Y28">
        <v>30.26</v>
      </c>
      <c r="Z28">
        <v>13.67</v>
      </c>
      <c r="AA28">
        <v>-1457.86</v>
      </c>
      <c r="AB28">
        <v>415.47</v>
      </c>
      <c r="AC28">
        <v>1034.45</v>
      </c>
      <c r="AD28">
        <v>21153.05</v>
      </c>
      <c r="AE28">
        <v>36.15</v>
      </c>
      <c r="AF28">
        <v>90.63</v>
      </c>
      <c r="AG28">
        <v>-1268.8399999999999</v>
      </c>
      <c r="AH28">
        <v>-1733.71</v>
      </c>
      <c r="AJ28">
        <v>13</v>
      </c>
      <c r="AL28">
        <v>0</v>
      </c>
      <c r="AM28">
        <v>18092.259999999998</v>
      </c>
      <c r="AN28">
        <v>2181.37</v>
      </c>
      <c r="AO28">
        <v>3595.02</v>
      </c>
      <c r="AP28">
        <v>197.83</v>
      </c>
      <c r="AQ28">
        <v>19.09</v>
      </c>
      <c r="AR28">
        <v>1.84</v>
      </c>
      <c r="AS28">
        <v>0.57999999999999996</v>
      </c>
      <c r="AT28">
        <v>-1066.8900000000001</v>
      </c>
      <c r="AU28">
        <v>10.16</v>
      </c>
      <c r="AV28">
        <v>20.7</v>
      </c>
      <c r="AW28">
        <v>16.88</v>
      </c>
      <c r="AX28">
        <v>103.42</v>
      </c>
      <c r="AY28">
        <v>13.55</v>
      </c>
      <c r="AZ28">
        <v>10.16</v>
      </c>
      <c r="BA28">
        <v>52180.76</v>
      </c>
      <c r="BB28">
        <v>16.57</v>
      </c>
    </row>
    <row r="29" spans="1:55" x14ac:dyDescent="0.2">
      <c r="A29" s="113" t="s">
        <v>49</v>
      </c>
      <c r="C29">
        <v>23.92</v>
      </c>
      <c r="E29">
        <v>25.77</v>
      </c>
      <c r="F29">
        <v>13</v>
      </c>
      <c r="H29">
        <v>13.55</v>
      </c>
      <c r="I29">
        <v>20.21</v>
      </c>
      <c r="K29">
        <v>13.55</v>
      </c>
      <c r="L29">
        <v>16.88</v>
      </c>
      <c r="M29">
        <v>18.190000000000001</v>
      </c>
      <c r="N29">
        <v>17.489999999999998</v>
      </c>
      <c r="O29">
        <v>14.3</v>
      </c>
      <c r="P29">
        <v>23.86</v>
      </c>
      <c r="Q29">
        <v>13</v>
      </c>
      <c r="R29">
        <v>13.67</v>
      </c>
      <c r="S29">
        <v>253.59</v>
      </c>
      <c r="U29">
        <v>15.03</v>
      </c>
      <c r="V29">
        <v>16.21</v>
      </c>
      <c r="W29">
        <v>14.35</v>
      </c>
      <c r="X29">
        <v>13.55</v>
      </c>
      <c r="Y29">
        <v>31.53</v>
      </c>
      <c r="Z29">
        <v>13.67</v>
      </c>
      <c r="AA29">
        <v>-1275.73</v>
      </c>
      <c r="AB29">
        <v>916.52</v>
      </c>
      <c r="AC29">
        <v>15568.13</v>
      </c>
      <c r="AD29">
        <v>0</v>
      </c>
      <c r="AE29">
        <v>41.17</v>
      </c>
      <c r="AF29">
        <v>12647.08</v>
      </c>
      <c r="AG29">
        <v>6906.52</v>
      </c>
      <c r="AH29">
        <v>18200.2</v>
      </c>
      <c r="AJ29">
        <v>19270.96</v>
      </c>
      <c r="AL29">
        <v>26352.66</v>
      </c>
      <c r="AM29">
        <v>97207.039999999994</v>
      </c>
      <c r="AN29">
        <v>31470.26</v>
      </c>
      <c r="AO29">
        <v>42512.58</v>
      </c>
      <c r="AP29">
        <v>13656.45</v>
      </c>
      <c r="AQ29">
        <v>12480.83</v>
      </c>
      <c r="AR29">
        <v>11363.55</v>
      </c>
      <c r="AS29">
        <v>11706.71</v>
      </c>
      <c r="AT29">
        <v>1959.79</v>
      </c>
      <c r="AU29">
        <v>10.16</v>
      </c>
      <c r="AV29">
        <v>16.97</v>
      </c>
      <c r="AW29">
        <v>14.87</v>
      </c>
      <c r="AX29">
        <v>14090.2</v>
      </c>
      <c r="AY29">
        <v>13.55</v>
      </c>
      <c r="AZ29">
        <v>10.16</v>
      </c>
      <c r="BA29">
        <v>969.58</v>
      </c>
      <c r="BB29">
        <v>17.54</v>
      </c>
    </row>
    <row r="30" spans="1:55" x14ac:dyDescent="0.2">
      <c r="A30" s="113" t="s">
        <v>50</v>
      </c>
      <c r="C30">
        <v>23.93</v>
      </c>
      <c r="E30">
        <v>29.29</v>
      </c>
      <c r="F30">
        <v>21.13</v>
      </c>
      <c r="H30">
        <v>13.55</v>
      </c>
      <c r="I30">
        <v>21.53</v>
      </c>
      <c r="K30">
        <v>17.670000000000002</v>
      </c>
      <c r="L30">
        <v>19.02</v>
      </c>
      <c r="M30">
        <v>18.37</v>
      </c>
      <c r="N30">
        <v>17.73</v>
      </c>
      <c r="O30">
        <v>20.45</v>
      </c>
      <c r="P30">
        <v>25.92</v>
      </c>
      <c r="Q30">
        <v>44.8</v>
      </c>
      <c r="R30">
        <v>41.42</v>
      </c>
      <c r="S30">
        <v>176.09</v>
      </c>
      <c r="U30">
        <v>17.02</v>
      </c>
      <c r="V30">
        <v>17.7</v>
      </c>
      <c r="W30">
        <v>15.02</v>
      </c>
      <c r="X30">
        <v>13.55</v>
      </c>
      <c r="Y30">
        <v>61.73</v>
      </c>
      <c r="Z30">
        <v>14.34</v>
      </c>
      <c r="AA30">
        <v>-592.05999999999995</v>
      </c>
      <c r="AB30">
        <v>582.84</v>
      </c>
      <c r="AC30">
        <v>1.46</v>
      </c>
      <c r="AD30">
        <v>12466.12</v>
      </c>
      <c r="AE30">
        <v>63.14</v>
      </c>
      <c r="AF30">
        <v>26068.85</v>
      </c>
      <c r="AG30">
        <v>24076.85</v>
      </c>
      <c r="AH30">
        <v>40527.269999999997</v>
      </c>
      <c r="AJ30">
        <v>13</v>
      </c>
      <c r="AL30">
        <v>9740.64</v>
      </c>
      <c r="AM30">
        <v>13865.74</v>
      </c>
      <c r="AN30">
        <v>16927.509999999998</v>
      </c>
      <c r="AO30">
        <v>36844.04</v>
      </c>
      <c r="AP30">
        <v>53913.35</v>
      </c>
      <c r="AQ30">
        <v>19945.54</v>
      </c>
      <c r="AR30">
        <v>26209.1</v>
      </c>
      <c r="AS30">
        <v>8964.25</v>
      </c>
      <c r="AT30">
        <v>22109.62</v>
      </c>
      <c r="AU30">
        <v>10.16</v>
      </c>
      <c r="AV30">
        <v>13.92</v>
      </c>
      <c r="AW30">
        <v>16.88</v>
      </c>
      <c r="AX30">
        <v>5194.26</v>
      </c>
      <c r="AY30">
        <v>23.86</v>
      </c>
      <c r="AZ30">
        <v>10.16</v>
      </c>
      <c r="BA30">
        <v>16264.11</v>
      </c>
      <c r="BB30">
        <v>18.809999999999999</v>
      </c>
    </row>
    <row r="31" spans="1:55" x14ac:dyDescent="0.2">
      <c r="A31" s="113" t="s">
        <v>51</v>
      </c>
      <c r="C31">
        <v>19.55</v>
      </c>
      <c r="E31">
        <v>36.58</v>
      </c>
      <c r="F31">
        <v>143.30000000000001</v>
      </c>
      <c r="H31">
        <v>13.55</v>
      </c>
      <c r="I31">
        <v>44.59</v>
      </c>
      <c r="K31">
        <v>61.33</v>
      </c>
      <c r="L31">
        <v>17.420000000000002</v>
      </c>
      <c r="M31">
        <v>58.09</v>
      </c>
      <c r="N31">
        <v>32.909999999999997</v>
      </c>
      <c r="O31">
        <v>96.2</v>
      </c>
      <c r="P31">
        <v>36.979999999999997</v>
      </c>
      <c r="Q31">
        <v>277.3</v>
      </c>
      <c r="R31">
        <v>103.65</v>
      </c>
      <c r="S31">
        <v>298.45999999999998</v>
      </c>
      <c r="U31">
        <v>16.91</v>
      </c>
      <c r="V31">
        <v>151.03</v>
      </c>
      <c r="W31">
        <v>16.190000000000001</v>
      </c>
      <c r="X31">
        <v>13.55</v>
      </c>
      <c r="Y31">
        <v>553.48</v>
      </c>
      <c r="Z31">
        <v>106.77</v>
      </c>
      <c r="AA31">
        <v>2140.56</v>
      </c>
      <c r="AB31">
        <v>487.72</v>
      </c>
      <c r="AC31">
        <v>18.96</v>
      </c>
      <c r="AD31">
        <v>0</v>
      </c>
      <c r="AE31">
        <v>96.98</v>
      </c>
      <c r="AF31">
        <v>1088.56</v>
      </c>
      <c r="AG31">
        <v>8575.2800000000007</v>
      </c>
      <c r="AH31">
        <v>2396.96</v>
      </c>
      <c r="AJ31">
        <v>5810.12</v>
      </c>
      <c r="AL31">
        <v>-21.24</v>
      </c>
      <c r="AM31">
        <v>2581.75</v>
      </c>
      <c r="AN31">
        <v>7089.3</v>
      </c>
      <c r="AO31">
        <v>-40.04</v>
      </c>
      <c r="AP31">
        <v>6273.37</v>
      </c>
      <c r="AQ31">
        <v>2050.1</v>
      </c>
      <c r="AR31">
        <v>0</v>
      </c>
      <c r="AS31">
        <v>555.91999999999996</v>
      </c>
      <c r="AT31">
        <v>13880.55</v>
      </c>
      <c r="AU31">
        <v>10.16</v>
      </c>
      <c r="AV31">
        <v>12.3</v>
      </c>
      <c r="AW31">
        <v>15.68</v>
      </c>
      <c r="AX31">
        <v>1529.8</v>
      </c>
      <c r="AY31">
        <v>110.39</v>
      </c>
      <c r="AZ31">
        <v>10.16</v>
      </c>
      <c r="BA31">
        <v>46137.15</v>
      </c>
      <c r="BB31">
        <v>44.82</v>
      </c>
    </row>
    <row r="32" spans="1:55" x14ac:dyDescent="0.2">
      <c r="A32" s="113" t="s">
        <v>52</v>
      </c>
      <c r="C32">
        <v>19.86</v>
      </c>
      <c r="E32">
        <v>31.73</v>
      </c>
      <c r="F32">
        <v>227.48</v>
      </c>
      <c r="H32">
        <v>13.55</v>
      </c>
      <c r="I32">
        <v>34.19</v>
      </c>
      <c r="K32">
        <v>104.78</v>
      </c>
      <c r="L32">
        <v>18.46</v>
      </c>
      <c r="M32">
        <v>177.77</v>
      </c>
      <c r="N32">
        <v>45.97</v>
      </c>
      <c r="O32">
        <v>125.38</v>
      </c>
      <c r="P32">
        <v>53.48</v>
      </c>
      <c r="Q32">
        <v>221.66</v>
      </c>
      <c r="R32">
        <v>131.46</v>
      </c>
      <c r="S32">
        <v>392.63</v>
      </c>
      <c r="U32">
        <v>17.579999999999998</v>
      </c>
      <c r="V32">
        <v>190.81</v>
      </c>
      <c r="X32">
        <v>13.55</v>
      </c>
      <c r="Y32">
        <v>920.99</v>
      </c>
      <c r="Z32">
        <v>182.61</v>
      </c>
      <c r="AA32">
        <v>2298.71</v>
      </c>
      <c r="AB32">
        <v>805.21</v>
      </c>
      <c r="AC32">
        <v>30.06</v>
      </c>
      <c r="AD32">
        <v>0</v>
      </c>
      <c r="AE32">
        <v>82.24</v>
      </c>
      <c r="AF32">
        <v>144.86000000000001</v>
      </c>
      <c r="AG32">
        <v>0</v>
      </c>
      <c r="AH32">
        <v>233.31</v>
      </c>
      <c r="AJ32">
        <v>1017.85</v>
      </c>
      <c r="AL32">
        <v>609.03</v>
      </c>
      <c r="AM32">
        <v>-2346.61</v>
      </c>
      <c r="AN32">
        <v>927.99</v>
      </c>
      <c r="AO32">
        <v>55.24</v>
      </c>
      <c r="AP32">
        <v>1658.84</v>
      </c>
      <c r="AQ32">
        <v>289.33</v>
      </c>
      <c r="AR32">
        <v>0</v>
      </c>
      <c r="AS32">
        <v>59.28</v>
      </c>
      <c r="AT32">
        <v>0</v>
      </c>
      <c r="AU32">
        <v>10.16</v>
      </c>
      <c r="AV32">
        <v>13.44</v>
      </c>
      <c r="AW32">
        <v>88.4</v>
      </c>
      <c r="AX32">
        <v>0</v>
      </c>
      <c r="AY32">
        <v>215.63</v>
      </c>
      <c r="AZ32">
        <v>20.58</v>
      </c>
      <c r="BA32">
        <v>571.91999999999996</v>
      </c>
      <c r="BB32">
        <v>76.510000000000005</v>
      </c>
    </row>
    <row r="33" spans="1:55" ht="13.5" thickBot="1" x14ac:dyDescent="0.25">
      <c r="A33" s="106" t="s">
        <v>58</v>
      </c>
      <c r="B33" s="116">
        <f>SUM(B21:B32)</f>
        <v>0</v>
      </c>
      <c r="C33" s="116">
        <f>SUM(C21:C32)</f>
        <v>644.50999999999988</v>
      </c>
      <c r="D33" s="116"/>
      <c r="E33" s="116">
        <f t="shared" ref="E33:AY33" si="3">SUM(E21:E32)</f>
        <v>426.35</v>
      </c>
      <c r="F33" s="116">
        <f t="shared" si="3"/>
        <v>1122.95</v>
      </c>
      <c r="G33" s="117">
        <f t="shared" si="3"/>
        <v>0</v>
      </c>
      <c r="H33" s="116">
        <f t="shared" si="3"/>
        <v>972.18999999999994</v>
      </c>
      <c r="I33" s="117">
        <f t="shared" si="3"/>
        <v>2776.1300000000006</v>
      </c>
      <c r="J33" s="118">
        <f t="shared" si="3"/>
        <v>0</v>
      </c>
      <c r="K33" s="117">
        <f t="shared" si="3"/>
        <v>823.0999999999998</v>
      </c>
      <c r="L33" s="117">
        <f t="shared" si="3"/>
        <v>222.64000000000001</v>
      </c>
      <c r="M33" s="117">
        <f t="shared" si="3"/>
        <v>1438.9999999999998</v>
      </c>
      <c r="N33" s="117">
        <f t="shared" si="3"/>
        <v>488.33000000000004</v>
      </c>
      <c r="O33" s="119">
        <f t="shared" si="3"/>
        <v>845.55999999999983</v>
      </c>
      <c r="P33" s="117">
        <f t="shared" si="3"/>
        <v>493.55</v>
      </c>
      <c r="Q33" s="119">
        <f t="shared" si="3"/>
        <v>2683.5900000000006</v>
      </c>
      <c r="R33" s="119">
        <f t="shared" si="3"/>
        <v>866.27</v>
      </c>
      <c r="S33" s="119">
        <f t="shared" si="3"/>
        <v>3165.2700000000004</v>
      </c>
      <c r="T33" s="117">
        <f t="shared" si="3"/>
        <v>0</v>
      </c>
      <c r="U33" s="119">
        <f t="shared" si="3"/>
        <v>195.22000000000003</v>
      </c>
      <c r="V33" s="119">
        <f t="shared" si="3"/>
        <v>1551.4</v>
      </c>
      <c r="W33" s="117">
        <f t="shared" si="3"/>
        <v>174.29000000000002</v>
      </c>
      <c r="X33" s="119">
        <f t="shared" si="3"/>
        <v>162.60000000000002</v>
      </c>
      <c r="Y33" s="119">
        <f t="shared" si="3"/>
        <v>5744.2799999999988</v>
      </c>
      <c r="Z33" s="119">
        <f t="shared" si="3"/>
        <v>1279.4899999999998</v>
      </c>
      <c r="AA33" s="119">
        <f t="shared" si="3"/>
        <v>5577.7100000000009</v>
      </c>
      <c r="AB33" s="119">
        <f t="shared" si="3"/>
        <v>12825.11</v>
      </c>
      <c r="AC33" s="119">
        <f>SUM(AC21:AC32)</f>
        <v>16868.039999999997</v>
      </c>
      <c r="AD33" s="119">
        <f>SUM(AD21:AD32)</f>
        <v>6121.0800000000036</v>
      </c>
      <c r="AE33" s="119"/>
      <c r="AF33" s="119">
        <f>SUM(AF21:AF32)</f>
        <v>40039.979999999996</v>
      </c>
      <c r="AG33" s="119">
        <f>SUM(AG21:AG32)</f>
        <v>33100.379999999997</v>
      </c>
      <c r="AH33" s="119">
        <f>SUM(AH21:AH32)</f>
        <v>47408.38</v>
      </c>
      <c r="AI33" s="119">
        <f>SUM(AI21:AI32)</f>
        <v>0</v>
      </c>
      <c r="AJ33" s="119">
        <f>SUM(AJ21:AJ32)</f>
        <v>26859.01</v>
      </c>
      <c r="AK33" s="119">
        <f t="shared" si="3"/>
        <v>0</v>
      </c>
      <c r="AL33" s="119">
        <f t="shared" si="3"/>
        <v>44410.9</v>
      </c>
      <c r="AM33" s="117">
        <f t="shared" si="3"/>
        <v>93343.4</v>
      </c>
      <c r="AN33" s="117">
        <f t="shared" si="3"/>
        <v>59903.51</v>
      </c>
      <c r="AO33" s="119">
        <f t="shared" si="3"/>
        <v>74399.590000000026</v>
      </c>
      <c r="AP33" s="119">
        <f t="shared" si="3"/>
        <v>75699.839999999997</v>
      </c>
      <c r="AQ33" s="119">
        <f t="shared" si="3"/>
        <v>36089.920000000006</v>
      </c>
      <c r="AR33" s="119">
        <f t="shared" si="3"/>
        <v>37582.49</v>
      </c>
      <c r="AS33" s="119">
        <f t="shared" si="3"/>
        <v>21834.079999999994</v>
      </c>
      <c r="AT33" s="119">
        <f t="shared" si="3"/>
        <v>32595.429999999997</v>
      </c>
      <c r="AU33" s="119">
        <f t="shared" si="3"/>
        <v>121.91999999999997</v>
      </c>
      <c r="AV33" s="119">
        <f t="shared" si="3"/>
        <v>154.29</v>
      </c>
      <c r="AW33" s="119">
        <f t="shared" si="3"/>
        <v>893.11999999999978</v>
      </c>
      <c r="AX33" s="119">
        <f>SUM(AX21:AX32)</f>
        <v>20919.38</v>
      </c>
      <c r="AY33" s="119">
        <f t="shared" si="3"/>
        <v>1810.3599999999997</v>
      </c>
      <c r="AZ33" s="133"/>
      <c r="BA33" s="133"/>
      <c r="BB33" s="133"/>
      <c r="BC33" s="120"/>
    </row>
    <row r="34" spans="1:55" ht="13.5" thickTop="1" x14ac:dyDescent="0.2">
      <c r="A34" s="120"/>
      <c r="B34" s="120" t="str">
        <f t="shared" ref="B34:AY34" si="4">IF(B16=0,"",(B33/B16))</f>
        <v/>
      </c>
      <c r="C34" s="120">
        <f t="shared" si="4"/>
        <v>1.0262898089171972</v>
      </c>
      <c r="D34" s="120" t="str">
        <f t="shared" si="4"/>
        <v/>
      </c>
      <c r="E34" s="120">
        <f t="shared" si="4"/>
        <v>1.2726865671641792</v>
      </c>
      <c r="F34" s="120">
        <f t="shared" si="4"/>
        <v>0.81669090909090913</v>
      </c>
      <c r="G34" s="120" t="str">
        <f t="shared" si="4"/>
        <v/>
      </c>
      <c r="H34" s="120">
        <f t="shared" si="4"/>
        <v>0.96161226508407516</v>
      </c>
      <c r="I34" s="120">
        <f t="shared" si="4"/>
        <v>0.85841991341991364</v>
      </c>
      <c r="J34" s="120" t="str">
        <f t="shared" si="4"/>
        <v/>
      </c>
      <c r="K34" s="120">
        <f t="shared" si="4"/>
        <v>0.97293144208037796</v>
      </c>
      <c r="L34" s="120">
        <f t="shared" si="4"/>
        <v>2.5300000000000002</v>
      </c>
      <c r="M34" s="120">
        <f t="shared" si="4"/>
        <v>0.88772362739049959</v>
      </c>
      <c r="N34" s="120">
        <f t="shared" si="4"/>
        <v>1.0998423423423425</v>
      </c>
      <c r="O34" s="120">
        <f t="shared" si="4"/>
        <v>0.89857598299681174</v>
      </c>
      <c r="P34" s="120">
        <f t="shared" si="4"/>
        <v>1.2786269430051813</v>
      </c>
      <c r="Q34" s="120">
        <f t="shared" si="4"/>
        <v>0.76630211307824114</v>
      </c>
      <c r="R34" s="120">
        <f t="shared" si="4"/>
        <v>0.86887662988966896</v>
      </c>
      <c r="S34" s="120">
        <f t="shared" si="4"/>
        <v>0.75814850299401204</v>
      </c>
      <c r="T34" s="120" t="str">
        <f t="shared" si="4"/>
        <v/>
      </c>
      <c r="U34" s="120">
        <f t="shared" si="4"/>
        <v>2.7113888888888891</v>
      </c>
      <c r="V34" s="120">
        <f t="shared" si="4"/>
        <v>0.84223669923995659</v>
      </c>
      <c r="W34" s="120">
        <f t="shared" si="4"/>
        <v>4.0532558139534887</v>
      </c>
      <c r="X34" s="120" t="str">
        <f t="shared" si="4"/>
        <v/>
      </c>
      <c r="Y34" s="120">
        <f t="shared" si="4"/>
        <v>0.73550320102432765</v>
      </c>
      <c r="Z34" s="120">
        <f t="shared" si="4"/>
        <v>0.84011162179908061</v>
      </c>
      <c r="AA34" s="120">
        <f t="shared" si="4"/>
        <v>0.21442834076580045</v>
      </c>
      <c r="AB34" s="120">
        <f t="shared" si="4"/>
        <v>0.84414598828407827</v>
      </c>
      <c r="AC34" s="120">
        <f t="shared" si="4"/>
        <v>0.4423707744354986</v>
      </c>
      <c r="AD34" s="120">
        <f t="shared" si="4"/>
        <v>7.9811719300075676E-2</v>
      </c>
      <c r="AE34" s="120">
        <f t="shared" si="4"/>
        <v>0</v>
      </c>
      <c r="AF34" s="120">
        <f t="shared" si="4"/>
        <v>0.40547225794691588</v>
      </c>
      <c r="AG34" s="120">
        <f t="shared" si="4"/>
        <v>0.38783296425181901</v>
      </c>
      <c r="AH34" s="120">
        <f t="shared" si="4"/>
        <v>0.45137941540512233</v>
      </c>
      <c r="AI34" s="120" t="str">
        <f t="shared" si="4"/>
        <v/>
      </c>
      <c r="AJ34" s="120">
        <f t="shared" si="4"/>
        <v>0.52189899735737599</v>
      </c>
      <c r="AK34" s="120" t="str">
        <f t="shared" si="4"/>
        <v/>
      </c>
      <c r="AL34" s="120">
        <f t="shared" si="4"/>
        <v>0.51852816177844196</v>
      </c>
      <c r="AM34" s="120">
        <f t="shared" si="4"/>
        <v>0.38012616112624664</v>
      </c>
      <c r="AN34" s="120">
        <f t="shared" si="4"/>
        <v>0.48193074763272431</v>
      </c>
      <c r="AO34" s="120">
        <f t="shared" si="4"/>
        <v>0.40127280768463247</v>
      </c>
      <c r="AP34" s="120">
        <f t="shared" si="4"/>
        <v>0.47190589291391594</v>
      </c>
      <c r="AQ34" s="120">
        <f t="shared" si="4"/>
        <v>0.44130496453900714</v>
      </c>
      <c r="AR34" s="120">
        <f t="shared" si="4"/>
        <v>0.39456268175662196</v>
      </c>
      <c r="AS34" s="120">
        <f t="shared" si="4"/>
        <v>0.40893916691639187</v>
      </c>
      <c r="AT34" s="120">
        <f t="shared" si="4"/>
        <v>0.4169973262374147</v>
      </c>
      <c r="AU34" s="120" t="str">
        <f t="shared" si="4"/>
        <v/>
      </c>
      <c r="AV34" s="120">
        <f t="shared" si="4"/>
        <v>5.1429999999999998</v>
      </c>
      <c r="AW34" s="120">
        <f t="shared" si="4"/>
        <v>0.89133732534930121</v>
      </c>
      <c r="AX34" s="120">
        <f t="shared" si="4"/>
        <v>5.9929583517157214E-2</v>
      </c>
      <c r="AY34" s="120">
        <f t="shared" si="4"/>
        <v>1.0636662749706225</v>
      </c>
      <c r="AZ34" s="120"/>
      <c r="BA34" s="120"/>
      <c r="BB34" s="120"/>
      <c r="BC34" s="1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"/>
  <sheetViews>
    <sheetView workbookViewId="0">
      <selection activeCell="C10" sqref="C10"/>
    </sheetView>
  </sheetViews>
  <sheetFormatPr defaultRowHeight="12.75" x14ac:dyDescent="0.2"/>
  <sheetData>
    <row r="1" spans="1:55" x14ac:dyDescent="0.2">
      <c r="A1" s="1" t="s">
        <v>64</v>
      </c>
      <c r="B1" s="47">
        <v>594386</v>
      </c>
      <c r="C1" s="26">
        <v>1588956</v>
      </c>
      <c r="D1" s="26"/>
      <c r="E1" s="48">
        <v>33513</v>
      </c>
      <c r="F1" s="48">
        <v>33514</v>
      </c>
      <c r="G1" s="48">
        <v>105744</v>
      </c>
      <c r="H1" s="49">
        <v>263686</v>
      </c>
      <c r="I1" s="26">
        <v>263691</v>
      </c>
      <c r="J1" s="48">
        <v>263754</v>
      </c>
      <c r="K1" s="48">
        <v>539243</v>
      </c>
      <c r="L1" s="26">
        <v>539246</v>
      </c>
      <c r="M1" s="26">
        <v>574126</v>
      </c>
      <c r="N1" s="26">
        <v>637887</v>
      </c>
      <c r="O1" s="26">
        <v>637888</v>
      </c>
      <c r="P1" s="26">
        <v>637889</v>
      </c>
      <c r="Q1" s="26">
        <v>637890</v>
      </c>
      <c r="R1" s="26">
        <v>637892</v>
      </c>
      <c r="S1" s="26">
        <v>647598</v>
      </c>
      <c r="T1" s="26">
        <v>647856</v>
      </c>
      <c r="U1" s="26">
        <v>687022</v>
      </c>
      <c r="V1" s="26">
        <v>687023</v>
      </c>
      <c r="W1" s="26">
        <v>687831</v>
      </c>
      <c r="X1" s="26">
        <v>740818</v>
      </c>
      <c r="Y1" s="26">
        <v>740824</v>
      </c>
      <c r="Z1" s="26">
        <v>740838</v>
      </c>
      <c r="AA1" s="26">
        <v>740876</v>
      </c>
      <c r="AB1" s="26">
        <v>740882</v>
      </c>
      <c r="AC1" s="50">
        <v>741089</v>
      </c>
      <c r="AD1" s="50">
        <v>742815</v>
      </c>
      <c r="AE1" s="26">
        <v>742950</v>
      </c>
      <c r="AF1" s="50">
        <v>749325</v>
      </c>
      <c r="AG1" s="51">
        <v>749330</v>
      </c>
      <c r="AH1" s="50">
        <v>749334</v>
      </c>
      <c r="AI1" s="52">
        <v>749339</v>
      </c>
      <c r="AJ1" s="53">
        <v>762803</v>
      </c>
      <c r="AK1" s="54">
        <v>765933</v>
      </c>
      <c r="AL1" s="53">
        <v>868849</v>
      </c>
      <c r="AM1" s="53">
        <v>869044</v>
      </c>
      <c r="AN1" s="53">
        <v>869127</v>
      </c>
      <c r="AO1" s="53">
        <v>869308</v>
      </c>
      <c r="AP1" s="53">
        <v>869309</v>
      </c>
      <c r="AQ1" s="53">
        <v>869446</v>
      </c>
      <c r="AR1" s="53">
        <v>888353</v>
      </c>
      <c r="AS1" s="53">
        <v>888354</v>
      </c>
      <c r="AT1" s="53">
        <v>888355</v>
      </c>
      <c r="AU1" s="48">
        <v>1060882</v>
      </c>
      <c r="AV1" s="26">
        <v>1064052</v>
      </c>
      <c r="AW1" s="7" t="s">
        <v>2</v>
      </c>
      <c r="AX1" s="44">
        <v>672937</v>
      </c>
      <c r="AY1" s="7">
        <v>1342205</v>
      </c>
      <c r="AZ1" s="7">
        <v>3452105</v>
      </c>
      <c r="BA1" s="7">
        <v>9224993</v>
      </c>
      <c r="BB1" s="7">
        <v>10471</v>
      </c>
      <c r="BC1" s="1">
        <v>10511133</v>
      </c>
    </row>
    <row r="2" spans="1:55" ht="51" x14ac:dyDescent="0.2">
      <c r="A2" s="99">
        <v>2016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</row>
    <row r="3" spans="1:55" x14ac:dyDescent="0.2">
      <c r="A3" s="26" t="s">
        <v>59</v>
      </c>
      <c r="C3">
        <v>187</v>
      </c>
      <c r="E3">
        <v>37</v>
      </c>
      <c r="F3">
        <v>418</v>
      </c>
      <c r="H3">
        <v>0</v>
      </c>
      <c r="I3">
        <v>1000</v>
      </c>
      <c r="K3">
        <v>179</v>
      </c>
      <c r="L3">
        <v>8</v>
      </c>
      <c r="M3">
        <v>420</v>
      </c>
      <c r="N3">
        <v>125</v>
      </c>
      <c r="O3">
        <v>292</v>
      </c>
      <c r="P3">
        <v>66</v>
      </c>
      <c r="Q3">
        <v>531</v>
      </c>
      <c r="R3">
        <v>225</v>
      </c>
      <c r="S3">
        <v>761</v>
      </c>
      <c r="U3">
        <v>5</v>
      </c>
      <c r="V3">
        <v>495</v>
      </c>
      <c r="W3">
        <v>5</v>
      </c>
      <c r="X3">
        <v>0</v>
      </c>
      <c r="Y3">
        <v>1864</v>
      </c>
      <c r="Z3">
        <v>414</v>
      </c>
      <c r="AA3">
        <v>5614</v>
      </c>
      <c r="AB3">
        <v>2048</v>
      </c>
      <c r="AC3">
        <v>64</v>
      </c>
      <c r="AD3">
        <v>0</v>
      </c>
      <c r="AE3">
        <v>232</v>
      </c>
      <c r="AF3">
        <v>0</v>
      </c>
      <c r="AG3">
        <v>0</v>
      </c>
      <c r="AH3">
        <v>0</v>
      </c>
      <c r="AJ3">
        <v>69</v>
      </c>
      <c r="AL3">
        <v>858</v>
      </c>
      <c r="AM3">
        <v>755</v>
      </c>
      <c r="AN3">
        <v>561</v>
      </c>
      <c r="AO3">
        <v>3177</v>
      </c>
      <c r="AP3">
        <v>1</v>
      </c>
      <c r="AQ3">
        <v>350</v>
      </c>
      <c r="AR3">
        <v>0</v>
      </c>
      <c r="AS3">
        <v>318</v>
      </c>
      <c r="AT3">
        <v>0</v>
      </c>
      <c r="AU3">
        <v>0</v>
      </c>
      <c r="AV3">
        <v>2</v>
      </c>
      <c r="AW3">
        <v>260</v>
      </c>
      <c r="AX3">
        <v>0</v>
      </c>
      <c r="AY3">
        <v>463</v>
      </c>
      <c r="AZ3">
        <v>4</v>
      </c>
      <c r="BA3">
        <v>157</v>
      </c>
      <c r="BB3">
        <v>173</v>
      </c>
      <c r="BC3">
        <v>156</v>
      </c>
    </row>
    <row r="4" spans="1:55" x14ac:dyDescent="0.2">
      <c r="A4" s="25" t="s">
        <v>42</v>
      </c>
      <c r="C4">
        <v>23</v>
      </c>
      <c r="E4">
        <v>38</v>
      </c>
      <c r="F4">
        <v>408</v>
      </c>
      <c r="H4">
        <v>330</v>
      </c>
      <c r="I4">
        <v>1009</v>
      </c>
      <c r="K4">
        <v>156</v>
      </c>
      <c r="L4">
        <v>6</v>
      </c>
      <c r="M4">
        <v>322</v>
      </c>
      <c r="N4">
        <v>77</v>
      </c>
      <c r="O4">
        <v>233</v>
      </c>
      <c r="P4">
        <v>66</v>
      </c>
      <c r="Q4">
        <v>406</v>
      </c>
      <c r="R4">
        <v>208</v>
      </c>
      <c r="S4">
        <v>368</v>
      </c>
      <c r="U4">
        <v>7</v>
      </c>
      <c r="V4">
        <v>346</v>
      </c>
      <c r="W4">
        <v>6</v>
      </c>
      <c r="X4">
        <v>0</v>
      </c>
      <c r="Y4">
        <v>1413</v>
      </c>
      <c r="Z4">
        <v>292</v>
      </c>
      <c r="AA4">
        <v>6427</v>
      </c>
      <c r="AB4">
        <v>1914</v>
      </c>
      <c r="AC4">
        <v>52</v>
      </c>
      <c r="AD4">
        <v>0</v>
      </c>
      <c r="AE4">
        <v>148</v>
      </c>
      <c r="AF4">
        <v>1</v>
      </c>
      <c r="AG4">
        <v>0</v>
      </c>
      <c r="AH4">
        <v>0</v>
      </c>
      <c r="AJ4">
        <v>251</v>
      </c>
      <c r="AL4">
        <v>824</v>
      </c>
      <c r="AM4">
        <v>367</v>
      </c>
      <c r="AN4">
        <v>334</v>
      </c>
      <c r="AO4">
        <v>0</v>
      </c>
      <c r="AP4">
        <v>0</v>
      </c>
      <c r="AQ4">
        <v>324</v>
      </c>
      <c r="AR4">
        <v>0</v>
      </c>
      <c r="AS4">
        <v>227</v>
      </c>
      <c r="AT4">
        <v>0</v>
      </c>
      <c r="AU4">
        <v>0</v>
      </c>
      <c r="AV4">
        <v>2</v>
      </c>
      <c r="AW4">
        <v>268</v>
      </c>
      <c r="AX4">
        <v>0</v>
      </c>
      <c r="AY4">
        <v>347</v>
      </c>
      <c r="AZ4">
        <v>4</v>
      </c>
      <c r="BA4">
        <v>117</v>
      </c>
      <c r="BB4">
        <v>133</v>
      </c>
      <c r="BC4">
        <v>1085</v>
      </c>
    </row>
    <row r="5" spans="1:55" x14ac:dyDescent="0.2">
      <c r="A5" s="25" t="s">
        <v>43</v>
      </c>
      <c r="C5">
        <v>7</v>
      </c>
      <c r="E5">
        <v>40</v>
      </c>
      <c r="F5">
        <v>84</v>
      </c>
      <c r="H5">
        <v>168</v>
      </c>
      <c r="I5">
        <v>155</v>
      </c>
      <c r="K5">
        <v>66</v>
      </c>
      <c r="L5">
        <v>8</v>
      </c>
      <c r="M5">
        <v>70</v>
      </c>
      <c r="N5">
        <v>14</v>
      </c>
      <c r="O5">
        <v>60</v>
      </c>
      <c r="P5">
        <v>34</v>
      </c>
      <c r="Q5">
        <v>189</v>
      </c>
      <c r="R5">
        <v>116</v>
      </c>
      <c r="S5">
        <v>144</v>
      </c>
      <c r="U5">
        <v>0</v>
      </c>
      <c r="V5">
        <v>50</v>
      </c>
      <c r="W5">
        <v>4</v>
      </c>
      <c r="X5">
        <v>0</v>
      </c>
      <c r="Y5">
        <v>479</v>
      </c>
      <c r="Z5">
        <v>42</v>
      </c>
      <c r="AA5">
        <v>4443</v>
      </c>
      <c r="AB5">
        <v>1078</v>
      </c>
      <c r="AC5">
        <v>12</v>
      </c>
      <c r="AD5">
        <v>0</v>
      </c>
      <c r="AE5">
        <v>78</v>
      </c>
      <c r="AF5">
        <v>0</v>
      </c>
      <c r="AG5">
        <v>0</v>
      </c>
      <c r="AH5">
        <v>0</v>
      </c>
      <c r="AJ5">
        <v>76</v>
      </c>
      <c r="AL5">
        <v>609</v>
      </c>
      <c r="AM5">
        <v>6</v>
      </c>
      <c r="AN5">
        <v>50</v>
      </c>
      <c r="AO5">
        <v>0</v>
      </c>
      <c r="AP5">
        <v>7</v>
      </c>
      <c r="AQ5">
        <v>142</v>
      </c>
      <c r="AR5">
        <v>0</v>
      </c>
      <c r="AS5">
        <v>92</v>
      </c>
      <c r="AT5">
        <v>0</v>
      </c>
      <c r="AU5">
        <v>0</v>
      </c>
      <c r="AV5">
        <v>2</v>
      </c>
      <c r="AW5">
        <v>98</v>
      </c>
      <c r="AX5">
        <v>0</v>
      </c>
      <c r="AY5">
        <v>118</v>
      </c>
      <c r="AZ5">
        <v>0</v>
      </c>
      <c r="BA5">
        <v>60</v>
      </c>
      <c r="BB5">
        <v>80</v>
      </c>
      <c r="BC5">
        <v>504</v>
      </c>
    </row>
    <row r="6" spans="1:55" x14ac:dyDescent="0.2">
      <c r="A6" s="25" t="s">
        <v>44</v>
      </c>
      <c r="C6">
        <v>8</v>
      </c>
      <c r="E6">
        <v>29</v>
      </c>
      <c r="F6">
        <v>0</v>
      </c>
      <c r="H6">
        <v>11</v>
      </c>
      <c r="I6">
        <v>11</v>
      </c>
      <c r="K6">
        <v>18</v>
      </c>
      <c r="L6">
        <v>7</v>
      </c>
      <c r="M6">
        <v>25</v>
      </c>
      <c r="N6">
        <v>5</v>
      </c>
      <c r="O6">
        <v>1</v>
      </c>
      <c r="P6">
        <v>7</v>
      </c>
      <c r="Q6">
        <v>65</v>
      </c>
      <c r="R6">
        <v>30</v>
      </c>
      <c r="S6">
        <v>14</v>
      </c>
      <c r="U6">
        <v>9</v>
      </c>
      <c r="V6">
        <v>25</v>
      </c>
      <c r="W6">
        <v>4</v>
      </c>
      <c r="X6">
        <v>0</v>
      </c>
      <c r="Y6">
        <v>86</v>
      </c>
      <c r="Z6">
        <v>15</v>
      </c>
      <c r="AA6">
        <v>787</v>
      </c>
      <c r="AB6">
        <v>895</v>
      </c>
      <c r="AC6">
        <v>0</v>
      </c>
      <c r="AD6">
        <v>0</v>
      </c>
      <c r="AE6">
        <v>37</v>
      </c>
      <c r="AF6">
        <v>0</v>
      </c>
      <c r="AG6">
        <v>0</v>
      </c>
      <c r="AH6">
        <v>0</v>
      </c>
      <c r="AJ6">
        <v>73</v>
      </c>
      <c r="AL6">
        <v>386</v>
      </c>
      <c r="AM6">
        <v>38</v>
      </c>
      <c r="AN6">
        <v>24</v>
      </c>
      <c r="AO6">
        <v>0</v>
      </c>
      <c r="AP6">
        <v>2</v>
      </c>
      <c r="AQ6">
        <v>66</v>
      </c>
      <c r="AR6">
        <v>0</v>
      </c>
      <c r="AS6">
        <v>15</v>
      </c>
      <c r="AT6">
        <v>0</v>
      </c>
      <c r="AV6">
        <v>2</v>
      </c>
      <c r="AW6">
        <v>40</v>
      </c>
      <c r="AX6">
        <v>0</v>
      </c>
      <c r="AY6">
        <v>45</v>
      </c>
      <c r="AZ6">
        <v>0</v>
      </c>
      <c r="BA6">
        <v>0</v>
      </c>
      <c r="BB6">
        <v>44</v>
      </c>
      <c r="BC6">
        <v>0</v>
      </c>
    </row>
    <row r="7" spans="1:55" x14ac:dyDescent="0.2">
      <c r="A7" s="25" t="s">
        <v>45</v>
      </c>
      <c r="C7">
        <v>7</v>
      </c>
      <c r="E7">
        <v>29</v>
      </c>
      <c r="F7">
        <v>0</v>
      </c>
      <c r="H7">
        <v>9</v>
      </c>
      <c r="I7">
        <v>0</v>
      </c>
      <c r="K7">
        <v>1</v>
      </c>
      <c r="L7">
        <v>5</v>
      </c>
      <c r="M7">
        <v>7</v>
      </c>
      <c r="N7">
        <v>6</v>
      </c>
      <c r="O7">
        <v>1</v>
      </c>
      <c r="P7">
        <v>0</v>
      </c>
      <c r="Q7">
        <v>13</v>
      </c>
      <c r="R7">
        <v>9</v>
      </c>
      <c r="S7">
        <v>3</v>
      </c>
      <c r="U7">
        <v>8</v>
      </c>
      <c r="V7">
        <v>5</v>
      </c>
      <c r="W7">
        <v>3</v>
      </c>
      <c r="X7">
        <v>0</v>
      </c>
      <c r="Y7">
        <v>26</v>
      </c>
      <c r="Z7">
        <v>0</v>
      </c>
      <c r="AA7">
        <v>212</v>
      </c>
      <c r="AB7">
        <v>1066</v>
      </c>
      <c r="AC7">
        <v>0</v>
      </c>
      <c r="AD7">
        <v>0</v>
      </c>
      <c r="AE7">
        <v>26</v>
      </c>
      <c r="AF7">
        <v>0</v>
      </c>
      <c r="AG7">
        <v>0</v>
      </c>
      <c r="AH7">
        <v>0</v>
      </c>
      <c r="AJ7">
        <v>37</v>
      </c>
      <c r="AL7">
        <v>319</v>
      </c>
      <c r="AM7">
        <v>7</v>
      </c>
      <c r="AN7">
        <v>0</v>
      </c>
      <c r="AO7">
        <v>0</v>
      </c>
      <c r="AP7">
        <v>0</v>
      </c>
      <c r="AQ7">
        <v>8</v>
      </c>
      <c r="AR7">
        <v>1</v>
      </c>
      <c r="AS7">
        <v>0</v>
      </c>
      <c r="AT7">
        <v>0</v>
      </c>
      <c r="AV7">
        <v>3</v>
      </c>
      <c r="AW7">
        <v>1</v>
      </c>
      <c r="AX7">
        <v>0</v>
      </c>
      <c r="AY7">
        <v>2</v>
      </c>
      <c r="AZ7">
        <v>0</v>
      </c>
      <c r="BA7">
        <v>94</v>
      </c>
      <c r="BB7">
        <v>8</v>
      </c>
      <c r="BC7">
        <v>83</v>
      </c>
    </row>
    <row r="8" spans="1:55" x14ac:dyDescent="0.2">
      <c r="A8" s="25" t="s">
        <v>46</v>
      </c>
      <c r="C8">
        <v>7</v>
      </c>
      <c r="E8">
        <v>18</v>
      </c>
      <c r="F8">
        <v>0</v>
      </c>
      <c r="H8">
        <v>10</v>
      </c>
      <c r="I8">
        <v>0</v>
      </c>
      <c r="K8">
        <v>0</v>
      </c>
      <c r="L8">
        <v>6</v>
      </c>
      <c r="M8">
        <v>7</v>
      </c>
      <c r="N8">
        <v>6</v>
      </c>
      <c r="O8">
        <v>0</v>
      </c>
      <c r="P8">
        <v>4</v>
      </c>
      <c r="Q8">
        <v>0</v>
      </c>
      <c r="R8">
        <v>4</v>
      </c>
      <c r="S8">
        <v>0</v>
      </c>
      <c r="U8">
        <v>7</v>
      </c>
      <c r="V8">
        <v>5</v>
      </c>
      <c r="W8">
        <v>2</v>
      </c>
      <c r="X8">
        <v>0</v>
      </c>
      <c r="Y8">
        <v>26</v>
      </c>
      <c r="Z8">
        <v>0</v>
      </c>
      <c r="AA8">
        <v>191</v>
      </c>
      <c r="AB8">
        <v>1249</v>
      </c>
      <c r="AC8">
        <v>0</v>
      </c>
      <c r="AD8">
        <v>0</v>
      </c>
      <c r="AE8">
        <v>22</v>
      </c>
      <c r="AF8">
        <v>0</v>
      </c>
      <c r="AG8">
        <v>0</v>
      </c>
      <c r="AH8">
        <v>0</v>
      </c>
      <c r="AJ8">
        <v>0</v>
      </c>
      <c r="AL8">
        <v>236</v>
      </c>
      <c r="AM8">
        <v>3</v>
      </c>
      <c r="AN8">
        <v>0</v>
      </c>
      <c r="AO8">
        <v>0</v>
      </c>
      <c r="AP8">
        <v>0</v>
      </c>
      <c r="AQ8">
        <v>6</v>
      </c>
      <c r="AR8">
        <v>0</v>
      </c>
      <c r="AS8">
        <v>0</v>
      </c>
      <c r="AT8">
        <v>0</v>
      </c>
      <c r="AV8">
        <v>2</v>
      </c>
      <c r="AW8">
        <v>3</v>
      </c>
      <c r="AX8">
        <v>0</v>
      </c>
      <c r="AY8">
        <v>0</v>
      </c>
      <c r="AZ8">
        <v>0</v>
      </c>
      <c r="BA8">
        <v>0</v>
      </c>
      <c r="BB8">
        <v>8</v>
      </c>
      <c r="BC8">
        <v>100</v>
      </c>
    </row>
    <row r="9" spans="1:55" x14ac:dyDescent="0.2">
      <c r="A9" s="25" t="s">
        <v>47</v>
      </c>
      <c r="C9">
        <v>8</v>
      </c>
      <c r="E9">
        <v>22</v>
      </c>
      <c r="F9">
        <v>0</v>
      </c>
      <c r="H9">
        <v>9</v>
      </c>
      <c r="I9">
        <v>0</v>
      </c>
      <c r="K9">
        <v>0</v>
      </c>
      <c r="L9">
        <v>9</v>
      </c>
      <c r="M9">
        <v>7</v>
      </c>
      <c r="N9">
        <v>7</v>
      </c>
      <c r="O9">
        <v>0</v>
      </c>
      <c r="P9">
        <v>9</v>
      </c>
      <c r="Q9">
        <v>1</v>
      </c>
      <c r="R9">
        <v>4</v>
      </c>
      <c r="S9">
        <v>1</v>
      </c>
      <c r="U9">
        <v>5</v>
      </c>
      <c r="V9">
        <v>4</v>
      </c>
      <c r="W9">
        <v>3</v>
      </c>
      <c r="X9">
        <v>0</v>
      </c>
      <c r="Y9">
        <v>28</v>
      </c>
      <c r="Z9">
        <v>1</v>
      </c>
      <c r="AA9">
        <v>214</v>
      </c>
      <c r="AB9">
        <v>141</v>
      </c>
      <c r="AC9">
        <v>612</v>
      </c>
      <c r="AD9">
        <v>0</v>
      </c>
      <c r="AE9">
        <v>29</v>
      </c>
      <c r="AF9">
        <v>2051</v>
      </c>
      <c r="AG9">
        <v>0</v>
      </c>
      <c r="AH9">
        <v>0</v>
      </c>
      <c r="AJ9">
        <v>711</v>
      </c>
      <c r="AL9">
        <v>290</v>
      </c>
      <c r="AM9">
        <v>40</v>
      </c>
      <c r="AN9">
        <v>10</v>
      </c>
      <c r="AO9">
        <v>0</v>
      </c>
      <c r="AP9">
        <v>0</v>
      </c>
      <c r="AQ9">
        <v>8</v>
      </c>
      <c r="AR9">
        <v>0</v>
      </c>
      <c r="AS9">
        <v>0</v>
      </c>
      <c r="AT9">
        <v>0</v>
      </c>
      <c r="AV9">
        <v>2</v>
      </c>
      <c r="AW9">
        <v>16</v>
      </c>
      <c r="AX9">
        <v>16</v>
      </c>
      <c r="AY9">
        <v>0</v>
      </c>
      <c r="AZ9">
        <v>0</v>
      </c>
      <c r="BA9">
        <v>0</v>
      </c>
      <c r="BB9">
        <v>7</v>
      </c>
      <c r="BC9">
        <v>406</v>
      </c>
    </row>
    <row r="10" spans="1:55" x14ac:dyDescent="0.2">
      <c r="A10" s="25" t="s">
        <v>48</v>
      </c>
      <c r="C10">
        <v>17</v>
      </c>
      <c r="E10">
        <v>20</v>
      </c>
      <c r="F10">
        <v>0</v>
      </c>
      <c r="H10">
        <v>10</v>
      </c>
      <c r="I10">
        <v>0</v>
      </c>
      <c r="K10">
        <v>0</v>
      </c>
      <c r="L10">
        <v>6</v>
      </c>
      <c r="M10">
        <v>7</v>
      </c>
      <c r="N10">
        <v>6</v>
      </c>
      <c r="O10">
        <v>0</v>
      </c>
      <c r="P10">
        <v>7</v>
      </c>
      <c r="Q10">
        <v>0</v>
      </c>
      <c r="R10">
        <v>3</v>
      </c>
      <c r="S10">
        <v>0</v>
      </c>
      <c r="U10">
        <v>7</v>
      </c>
      <c r="V10">
        <v>5</v>
      </c>
      <c r="W10">
        <v>2</v>
      </c>
      <c r="X10">
        <v>0</v>
      </c>
      <c r="Y10">
        <v>25</v>
      </c>
      <c r="Z10">
        <v>0</v>
      </c>
      <c r="AA10">
        <v>191</v>
      </c>
      <c r="AB10">
        <v>883</v>
      </c>
      <c r="AC10">
        <v>10374</v>
      </c>
      <c r="AD10">
        <v>867</v>
      </c>
      <c r="AE10">
        <v>25</v>
      </c>
      <c r="AF10">
        <v>57232</v>
      </c>
      <c r="AG10">
        <v>0</v>
      </c>
      <c r="AH10">
        <v>13</v>
      </c>
      <c r="AJ10">
        <v>14024</v>
      </c>
      <c r="AL10">
        <v>4060</v>
      </c>
      <c r="AM10">
        <v>55264</v>
      </c>
      <c r="AN10">
        <v>3862</v>
      </c>
      <c r="AO10">
        <v>27747</v>
      </c>
      <c r="AP10">
        <v>31</v>
      </c>
      <c r="AQ10">
        <v>25</v>
      </c>
      <c r="AR10">
        <v>0</v>
      </c>
      <c r="AS10">
        <v>1</v>
      </c>
      <c r="AT10">
        <v>491</v>
      </c>
      <c r="AV10">
        <v>7</v>
      </c>
      <c r="AW10">
        <v>5</v>
      </c>
      <c r="AX10">
        <v>618</v>
      </c>
      <c r="AY10">
        <v>0</v>
      </c>
      <c r="AZ10">
        <v>0</v>
      </c>
      <c r="BA10">
        <v>3203</v>
      </c>
      <c r="BB10">
        <v>7</v>
      </c>
      <c r="BC10">
        <v>1035</v>
      </c>
    </row>
    <row r="11" spans="1:55" x14ac:dyDescent="0.2">
      <c r="A11" s="25" t="s">
        <v>49</v>
      </c>
      <c r="C11">
        <v>22</v>
      </c>
      <c r="E11">
        <v>21</v>
      </c>
      <c r="F11">
        <v>0</v>
      </c>
      <c r="H11">
        <v>10</v>
      </c>
      <c r="I11">
        <v>0</v>
      </c>
      <c r="K11">
        <v>0</v>
      </c>
      <c r="L11">
        <v>7</v>
      </c>
      <c r="M11">
        <v>7</v>
      </c>
      <c r="N11">
        <v>5</v>
      </c>
      <c r="O11">
        <v>1</v>
      </c>
      <c r="P11">
        <v>7</v>
      </c>
      <c r="Q11">
        <v>0</v>
      </c>
      <c r="R11">
        <v>4</v>
      </c>
      <c r="S11">
        <v>0</v>
      </c>
      <c r="U11">
        <v>8</v>
      </c>
      <c r="V11">
        <v>5</v>
      </c>
      <c r="W11">
        <v>3</v>
      </c>
      <c r="X11">
        <v>0</v>
      </c>
      <c r="Y11">
        <v>26</v>
      </c>
      <c r="Z11">
        <v>0</v>
      </c>
      <c r="AA11">
        <v>188</v>
      </c>
      <c r="AB11">
        <v>1000</v>
      </c>
      <c r="AC11">
        <v>23635</v>
      </c>
      <c r="AD11">
        <v>2273</v>
      </c>
      <c r="AE11">
        <v>34</v>
      </c>
      <c r="AF11">
        <v>27543</v>
      </c>
      <c r="AG11">
        <v>32583</v>
      </c>
      <c r="AH11">
        <v>87065</v>
      </c>
      <c r="AJ11">
        <v>21836</v>
      </c>
      <c r="AL11">
        <v>60470</v>
      </c>
      <c r="AM11">
        <v>129375</v>
      </c>
      <c r="AN11">
        <v>77370</v>
      </c>
      <c r="AO11">
        <v>92895</v>
      </c>
      <c r="AP11">
        <v>64703</v>
      </c>
      <c r="AQ11">
        <v>41478</v>
      </c>
      <c r="AR11">
        <v>53231</v>
      </c>
      <c r="AS11">
        <v>25444</v>
      </c>
      <c r="AT11">
        <v>27820</v>
      </c>
      <c r="AV11">
        <v>8</v>
      </c>
      <c r="AW11">
        <v>1</v>
      </c>
      <c r="AX11">
        <v>29243</v>
      </c>
      <c r="AY11">
        <v>0</v>
      </c>
      <c r="AZ11">
        <v>0</v>
      </c>
      <c r="BA11">
        <v>117679</v>
      </c>
      <c r="BB11">
        <v>7</v>
      </c>
      <c r="BC11">
        <v>86</v>
      </c>
    </row>
    <row r="12" spans="1:55" x14ac:dyDescent="0.2">
      <c r="A12" s="25" t="s">
        <v>50</v>
      </c>
      <c r="C12">
        <v>20</v>
      </c>
      <c r="E12">
        <v>13</v>
      </c>
      <c r="F12">
        <v>0</v>
      </c>
      <c r="H12">
        <v>9</v>
      </c>
      <c r="I12">
        <v>0</v>
      </c>
      <c r="K12">
        <v>1</v>
      </c>
      <c r="L12">
        <v>8</v>
      </c>
      <c r="M12">
        <v>7</v>
      </c>
      <c r="N12">
        <v>7</v>
      </c>
      <c r="O12">
        <v>0</v>
      </c>
      <c r="P12">
        <v>8</v>
      </c>
      <c r="Q12">
        <v>8</v>
      </c>
      <c r="R12">
        <v>29</v>
      </c>
      <c r="S12">
        <v>0</v>
      </c>
      <c r="U12">
        <v>8</v>
      </c>
      <c r="V12">
        <v>5</v>
      </c>
      <c r="W12">
        <v>2</v>
      </c>
      <c r="X12">
        <v>0</v>
      </c>
      <c r="Y12">
        <v>29</v>
      </c>
      <c r="Z12">
        <v>1</v>
      </c>
      <c r="AA12">
        <v>215</v>
      </c>
      <c r="AB12">
        <v>2130</v>
      </c>
      <c r="AC12">
        <v>2387</v>
      </c>
      <c r="AD12">
        <v>961</v>
      </c>
      <c r="AE12">
        <v>61</v>
      </c>
      <c r="AF12">
        <v>996</v>
      </c>
      <c r="AG12">
        <v>29311</v>
      </c>
      <c r="AH12">
        <v>42814</v>
      </c>
      <c r="AJ12">
        <v>4914</v>
      </c>
      <c r="AL12">
        <v>19691</v>
      </c>
      <c r="AM12">
        <v>10273</v>
      </c>
      <c r="AN12">
        <v>16828</v>
      </c>
      <c r="AO12">
        <v>4908</v>
      </c>
      <c r="AP12">
        <v>65379</v>
      </c>
      <c r="AQ12">
        <v>34669</v>
      </c>
      <c r="AR12">
        <v>19257</v>
      </c>
      <c r="AS12">
        <v>5454</v>
      </c>
      <c r="AT12">
        <v>32211</v>
      </c>
      <c r="AV12">
        <v>4</v>
      </c>
      <c r="AW12">
        <v>3</v>
      </c>
      <c r="AX12">
        <v>15025</v>
      </c>
      <c r="AY12">
        <v>1</v>
      </c>
      <c r="AZ12">
        <v>0</v>
      </c>
      <c r="BA12">
        <v>52464</v>
      </c>
      <c r="BB12">
        <v>8</v>
      </c>
      <c r="BC12">
        <v>161</v>
      </c>
    </row>
    <row r="13" spans="1:55" x14ac:dyDescent="0.2">
      <c r="A13" s="25" t="s">
        <v>51</v>
      </c>
      <c r="C13">
        <v>9</v>
      </c>
      <c r="E13">
        <v>14</v>
      </c>
      <c r="F13">
        <v>219</v>
      </c>
      <c r="H13">
        <v>10</v>
      </c>
      <c r="I13">
        <v>2</v>
      </c>
      <c r="K13">
        <v>43</v>
      </c>
      <c r="L13">
        <v>7</v>
      </c>
      <c r="M13">
        <v>61</v>
      </c>
      <c r="N13">
        <v>8</v>
      </c>
      <c r="O13">
        <v>95</v>
      </c>
      <c r="P13">
        <v>50</v>
      </c>
      <c r="Q13">
        <v>132</v>
      </c>
      <c r="R13">
        <v>126</v>
      </c>
      <c r="S13">
        <v>0</v>
      </c>
      <c r="U13">
        <v>11</v>
      </c>
      <c r="V13">
        <v>160</v>
      </c>
      <c r="W13">
        <v>3</v>
      </c>
      <c r="X13">
        <v>0</v>
      </c>
      <c r="Y13">
        <v>589</v>
      </c>
      <c r="Z13">
        <v>66</v>
      </c>
      <c r="AA13">
        <v>2680</v>
      </c>
      <c r="AB13">
        <v>1923</v>
      </c>
      <c r="AC13">
        <v>2</v>
      </c>
      <c r="AD13">
        <v>0</v>
      </c>
      <c r="AE13">
        <v>126</v>
      </c>
      <c r="AF13">
        <v>3</v>
      </c>
      <c r="AG13">
        <v>2226</v>
      </c>
      <c r="AH13">
        <v>2999</v>
      </c>
      <c r="AJ13">
        <v>318</v>
      </c>
      <c r="AL13">
        <v>1218</v>
      </c>
      <c r="AM13">
        <v>2639</v>
      </c>
      <c r="AN13">
        <v>6516</v>
      </c>
      <c r="AO13">
        <v>0</v>
      </c>
      <c r="AP13">
        <v>5453</v>
      </c>
      <c r="AQ13">
        <v>1278</v>
      </c>
      <c r="AR13">
        <v>0</v>
      </c>
      <c r="AS13">
        <v>21</v>
      </c>
      <c r="AT13">
        <v>1998</v>
      </c>
      <c r="AV13">
        <v>2</v>
      </c>
      <c r="AW13">
        <v>7</v>
      </c>
      <c r="AX13">
        <v>2878</v>
      </c>
      <c r="AY13">
        <v>108</v>
      </c>
      <c r="AZ13">
        <v>0</v>
      </c>
      <c r="BA13">
        <v>759</v>
      </c>
      <c r="BB13">
        <v>21</v>
      </c>
      <c r="BC13">
        <v>114</v>
      </c>
    </row>
    <row r="14" spans="1:55" x14ac:dyDescent="0.2">
      <c r="A14" s="25" t="s">
        <v>52</v>
      </c>
      <c r="C14">
        <v>109</v>
      </c>
      <c r="E14">
        <v>21</v>
      </c>
      <c r="F14">
        <v>469</v>
      </c>
      <c r="H14">
        <v>292</v>
      </c>
      <c r="I14">
        <v>923</v>
      </c>
      <c r="K14">
        <v>153</v>
      </c>
      <c r="L14">
        <v>9</v>
      </c>
      <c r="M14">
        <v>454</v>
      </c>
      <c r="N14">
        <v>88</v>
      </c>
      <c r="O14">
        <v>227</v>
      </c>
      <c r="Q14">
        <v>432</v>
      </c>
      <c r="R14">
        <v>226</v>
      </c>
      <c r="S14">
        <v>472</v>
      </c>
      <c r="U14">
        <v>12</v>
      </c>
      <c r="V14">
        <v>518</v>
      </c>
      <c r="W14">
        <v>5</v>
      </c>
      <c r="Y14">
        <v>1893</v>
      </c>
      <c r="Z14">
        <v>356</v>
      </c>
      <c r="AA14">
        <v>6221</v>
      </c>
      <c r="AB14">
        <v>1408</v>
      </c>
      <c r="AD14">
        <v>0</v>
      </c>
      <c r="AE14">
        <v>275</v>
      </c>
      <c r="AG14">
        <v>0</v>
      </c>
      <c r="AH14">
        <v>0</v>
      </c>
      <c r="AL14">
        <v>1260</v>
      </c>
      <c r="AM14">
        <v>1266</v>
      </c>
      <c r="AN14">
        <v>651</v>
      </c>
      <c r="AO14">
        <v>402</v>
      </c>
      <c r="AP14">
        <v>1410</v>
      </c>
      <c r="AQ14">
        <v>380</v>
      </c>
      <c r="AR14">
        <v>0</v>
      </c>
      <c r="AS14">
        <v>294</v>
      </c>
      <c r="AT14">
        <v>4</v>
      </c>
      <c r="AV14">
        <v>3</v>
      </c>
      <c r="AW14">
        <v>182</v>
      </c>
      <c r="AX14">
        <v>0</v>
      </c>
      <c r="AY14">
        <v>438</v>
      </c>
      <c r="AZ14">
        <v>0</v>
      </c>
      <c r="BA14">
        <v>91</v>
      </c>
      <c r="BB14">
        <v>133</v>
      </c>
    </row>
    <row r="15" spans="1:55" ht="13.5" thickBot="1" x14ac:dyDescent="0.25">
      <c r="A15" s="92" t="s">
        <v>58</v>
      </c>
      <c r="B15" s="93">
        <f>SUM(B3:B14)/10</f>
        <v>0</v>
      </c>
      <c r="C15" s="93">
        <f>SUM(B20:B31)/10</f>
        <v>0</v>
      </c>
      <c r="D15" s="93"/>
      <c r="E15" s="94">
        <f>SUM(E3:E14)/10</f>
        <v>30.2</v>
      </c>
      <c r="F15" s="94">
        <v>0</v>
      </c>
      <c r="G15" s="95">
        <f>SUM(G3:G14)/10</f>
        <v>0</v>
      </c>
      <c r="H15" s="94">
        <f>SUM(H3:H14)/10</f>
        <v>86.8</v>
      </c>
      <c r="I15" s="94">
        <v>0</v>
      </c>
      <c r="J15" s="94"/>
      <c r="K15" s="94">
        <f t="shared" ref="K15:S15" si="0">SUM(K3:K14)/10</f>
        <v>61.7</v>
      </c>
      <c r="L15" s="94">
        <f t="shared" si="0"/>
        <v>8.6</v>
      </c>
      <c r="M15" s="94">
        <f t="shared" si="0"/>
        <v>139.4</v>
      </c>
      <c r="N15" s="94">
        <f t="shared" si="0"/>
        <v>35.4</v>
      </c>
      <c r="O15" s="94">
        <f t="shared" si="0"/>
        <v>91</v>
      </c>
      <c r="P15" s="94">
        <f t="shared" si="0"/>
        <v>25.8</v>
      </c>
      <c r="Q15" s="94">
        <f t="shared" si="0"/>
        <v>177.7</v>
      </c>
      <c r="R15" s="94">
        <f t="shared" si="0"/>
        <v>98.4</v>
      </c>
      <c r="S15" s="94">
        <f t="shared" si="0"/>
        <v>176.3</v>
      </c>
      <c r="T15" s="94"/>
      <c r="U15" s="94">
        <f t="shared" ref="U15:AD15" si="1">SUM(U3:U14)/10</f>
        <v>8.6999999999999993</v>
      </c>
      <c r="V15" s="94">
        <f t="shared" si="1"/>
        <v>162.30000000000001</v>
      </c>
      <c r="W15" s="94">
        <f t="shared" si="1"/>
        <v>4.2</v>
      </c>
      <c r="X15" s="94">
        <f t="shared" si="1"/>
        <v>0</v>
      </c>
      <c r="Y15" s="94">
        <f t="shared" si="1"/>
        <v>648.4</v>
      </c>
      <c r="Z15" s="94">
        <f t="shared" si="1"/>
        <v>118.7</v>
      </c>
      <c r="AA15" s="94">
        <f t="shared" si="1"/>
        <v>2738.3</v>
      </c>
      <c r="AB15" s="94">
        <f t="shared" si="1"/>
        <v>1573.5</v>
      </c>
      <c r="AC15" s="94">
        <f t="shared" si="1"/>
        <v>3713.8</v>
      </c>
      <c r="AD15" s="94">
        <f t="shared" si="1"/>
        <v>410.1</v>
      </c>
      <c r="AE15" s="94"/>
      <c r="AF15" s="94">
        <f>SUM(AF3:AF14)/10</f>
        <v>8782.6</v>
      </c>
      <c r="AG15" s="94">
        <f>SUM(AG3:AG14)/10</f>
        <v>6412</v>
      </c>
      <c r="AH15" s="94">
        <f>SUM(AH3:AH14)/10</f>
        <v>13289.1</v>
      </c>
      <c r="AI15" s="94">
        <f>SUM(AI3:AI14)/10</f>
        <v>0</v>
      </c>
      <c r="AJ15" s="94">
        <f>SUM(AJ3:AJ14)/10</f>
        <v>4230.8999999999996</v>
      </c>
      <c r="AK15" s="94"/>
      <c r="AL15" s="94">
        <f t="shared" ref="AL15:BB15" si="2">SUM(AL3:AL14)/10</f>
        <v>9022.1</v>
      </c>
      <c r="AM15" s="94">
        <f t="shared" si="2"/>
        <v>20003.3</v>
      </c>
      <c r="AN15" s="94">
        <f t="shared" si="2"/>
        <v>10620.6</v>
      </c>
      <c r="AO15" s="94">
        <f t="shared" si="2"/>
        <v>12912.9</v>
      </c>
      <c r="AP15" s="94">
        <f t="shared" si="2"/>
        <v>13698.6</v>
      </c>
      <c r="AQ15" s="94">
        <f t="shared" si="2"/>
        <v>7873.4</v>
      </c>
      <c r="AR15" s="94">
        <f t="shared" si="2"/>
        <v>7248.9</v>
      </c>
      <c r="AS15" s="96">
        <f t="shared" si="2"/>
        <v>3186.6</v>
      </c>
      <c r="AT15" s="94">
        <f t="shared" si="2"/>
        <v>6252.4</v>
      </c>
      <c r="AU15" s="94">
        <f t="shared" si="2"/>
        <v>0</v>
      </c>
      <c r="AV15" s="94">
        <f t="shared" si="2"/>
        <v>3.9</v>
      </c>
      <c r="AW15" s="94">
        <f t="shared" si="2"/>
        <v>88.4</v>
      </c>
      <c r="AX15" s="94">
        <f t="shared" si="2"/>
        <v>4778</v>
      </c>
      <c r="AY15" s="94">
        <f t="shared" si="2"/>
        <v>152.19999999999999</v>
      </c>
      <c r="AZ15" s="94">
        <f t="shared" si="2"/>
        <v>0.8</v>
      </c>
      <c r="BA15" s="94">
        <f t="shared" si="2"/>
        <v>17462.400000000001</v>
      </c>
      <c r="BB15" s="94">
        <f t="shared" si="2"/>
        <v>62.9</v>
      </c>
      <c r="BC15" s="97">
        <f>SUM(B15:BB15)</f>
        <v>156391.29999999999</v>
      </c>
    </row>
    <row r="16" spans="1:55" ht="13.5" thickTop="1" x14ac:dyDescent="0.2">
      <c r="A16" s="92"/>
      <c r="B16" s="134">
        <f>SUM(B3:B14)</f>
        <v>0</v>
      </c>
      <c r="C16" s="134">
        <f t="shared" ref="C16:AE16" si="3">SUM(C3:C14)</f>
        <v>424</v>
      </c>
      <c r="D16" s="134">
        <f t="shared" si="3"/>
        <v>0</v>
      </c>
      <c r="E16" s="134">
        <f>SUM(E3:E14)</f>
        <v>302</v>
      </c>
      <c r="F16" s="134">
        <f t="shared" si="3"/>
        <v>1598</v>
      </c>
      <c r="G16" s="134">
        <f t="shared" si="3"/>
        <v>0</v>
      </c>
      <c r="H16" s="134">
        <f t="shared" si="3"/>
        <v>868</v>
      </c>
      <c r="I16" s="134">
        <f t="shared" si="3"/>
        <v>3100</v>
      </c>
      <c r="J16" s="134">
        <f t="shared" si="3"/>
        <v>0</v>
      </c>
      <c r="K16" s="134">
        <f t="shared" si="3"/>
        <v>617</v>
      </c>
      <c r="L16" s="134">
        <f t="shared" si="3"/>
        <v>86</v>
      </c>
      <c r="M16" s="134">
        <f t="shared" si="3"/>
        <v>1394</v>
      </c>
      <c r="N16" s="134">
        <f t="shared" si="3"/>
        <v>354</v>
      </c>
      <c r="O16" s="134">
        <f t="shared" si="3"/>
        <v>910</v>
      </c>
      <c r="P16" s="134">
        <f t="shared" si="3"/>
        <v>258</v>
      </c>
      <c r="Q16" s="134">
        <f t="shared" si="3"/>
        <v>1777</v>
      </c>
      <c r="R16" s="134">
        <f t="shared" si="3"/>
        <v>984</v>
      </c>
      <c r="S16" s="134">
        <f t="shared" si="3"/>
        <v>1763</v>
      </c>
      <c r="T16" s="134">
        <f t="shared" si="3"/>
        <v>0</v>
      </c>
      <c r="U16" s="134">
        <f t="shared" si="3"/>
        <v>87</v>
      </c>
      <c r="V16" s="134">
        <f t="shared" si="3"/>
        <v>1623</v>
      </c>
      <c r="W16" s="134">
        <f t="shared" si="3"/>
        <v>42</v>
      </c>
      <c r="X16" s="134">
        <f t="shared" si="3"/>
        <v>0</v>
      </c>
      <c r="Y16" s="134">
        <f t="shared" si="3"/>
        <v>6484</v>
      </c>
      <c r="Z16" s="134">
        <f t="shared" si="3"/>
        <v>1187</v>
      </c>
      <c r="AA16" s="134">
        <f t="shared" si="3"/>
        <v>27383</v>
      </c>
      <c r="AB16" s="134">
        <f t="shared" si="3"/>
        <v>15735</v>
      </c>
      <c r="AC16" s="134">
        <f t="shared" si="3"/>
        <v>37138</v>
      </c>
      <c r="AD16" s="134">
        <f t="shared" si="3"/>
        <v>4101</v>
      </c>
      <c r="AE16" s="134">
        <f t="shared" si="3"/>
        <v>1093</v>
      </c>
      <c r="AF16" s="135">
        <f>SUM(AF3:AF14)</f>
        <v>87826</v>
      </c>
      <c r="AG16" s="135">
        <f>SUM(AG3:AG14)</f>
        <v>64120</v>
      </c>
      <c r="AH16" s="135">
        <f t="shared" ref="AH16:BB16" si="4">SUM(AH3:AH14)</f>
        <v>132891</v>
      </c>
      <c r="AI16" s="135">
        <f t="shared" si="4"/>
        <v>0</v>
      </c>
      <c r="AJ16" s="135">
        <f t="shared" si="4"/>
        <v>42309</v>
      </c>
      <c r="AK16" s="135">
        <f t="shared" si="4"/>
        <v>0</v>
      </c>
      <c r="AL16" s="135">
        <f t="shared" si="4"/>
        <v>90221</v>
      </c>
      <c r="AM16" s="135">
        <f t="shared" si="4"/>
        <v>200033</v>
      </c>
      <c r="AN16" s="135">
        <f t="shared" si="4"/>
        <v>106206</v>
      </c>
      <c r="AO16" s="135">
        <f t="shared" si="4"/>
        <v>129129</v>
      </c>
      <c r="AP16" s="135">
        <f t="shared" si="4"/>
        <v>136986</v>
      </c>
      <c r="AQ16" s="135">
        <f t="shared" si="4"/>
        <v>78734</v>
      </c>
      <c r="AR16" s="135">
        <f t="shared" si="4"/>
        <v>72489</v>
      </c>
      <c r="AS16" s="135">
        <f t="shared" si="4"/>
        <v>31866</v>
      </c>
      <c r="AT16" s="135">
        <f t="shared" si="4"/>
        <v>62524</v>
      </c>
      <c r="AU16" s="135">
        <f t="shared" si="4"/>
        <v>0</v>
      </c>
      <c r="AV16" s="135">
        <f t="shared" si="4"/>
        <v>39</v>
      </c>
      <c r="AW16" s="135">
        <f t="shared" si="4"/>
        <v>884</v>
      </c>
      <c r="AX16" s="135">
        <f t="shared" si="4"/>
        <v>47780</v>
      </c>
      <c r="AY16" s="135">
        <f t="shared" si="4"/>
        <v>1522</v>
      </c>
      <c r="AZ16" s="135">
        <f t="shared" si="4"/>
        <v>8</v>
      </c>
      <c r="BA16" s="135">
        <f t="shared" si="4"/>
        <v>174624</v>
      </c>
      <c r="BB16" s="135">
        <f t="shared" si="4"/>
        <v>629</v>
      </c>
      <c r="BC16" s="138">
        <f>SUM(B16:BB16)</f>
        <v>1570128</v>
      </c>
    </row>
    <row r="20" spans="1:55" x14ac:dyDescent="0.2">
      <c r="A20" s="26">
        <v>2016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/>
      <c r="BA20" s="31"/>
      <c r="BB20" s="31"/>
      <c r="BC20" s="31"/>
    </row>
    <row r="21" spans="1:55" x14ac:dyDescent="0.2">
      <c r="A21" s="106" t="s">
        <v>59</v>
      </c>
      <c r="C21">
        <v>124.44</v>
      </c>
      <c r="E21">
        <v>35.229999999999997</v>
      </c>
      <c r="F21">
        <v>263.94</v>
      </c>
      <c r="H21">
        <v>81.569999999999993</v>
      </c>
      <c r="I21">
        <v>621.04</v>
      </c>
      <c r="K21">
        <v>127.41</v>
      </c>
      <c r="L21">
        <v>18.61</v>
      </c>
      <c r="M21">
        <v>280.68</v>
      </c>
      <c r="N21">
        <v>89.93</v>
      </c>
      <c r="O21">
        <v>191.84</v>
      </c>
      <c r="P21">
        <v>66.83</v>
      </c>
      <c r="Q21">
        <v>336.96</v>
      </c>
      <c r="R21">
        <v>150.94</v>
      </c>
      <c r="S21">
        <v>477.96</v>
      </c>
      <c r="U21">
        <v>14.92</v>
      </c>
      <c r="V21">
        <v>327.9</v>
      </c>
      <c r="W21">
        <v>16.170000000000002</v>
      </c>
      <c r="X21">
        <v>13.55</v>
      </c>
      <c r="Y21">
        <v>1137.42</v>
      </c>
      <c r="Z21">
        <v>266.26</v>
      </c>
      <c r="AA21">
        <v>3286.59</v>
      </c>
      <c r="AB21">
        <v>1242.8699999999999</v>
      </c>
      <c r="AC21">
        <v>42.7</v>
      </c>
      <c r="AD21">
        <v>0</v>
      </c>
      <c r="AE21">
        <v>158.75</v>
      </c>
      <c r="AF21">
        <v>0</v>
      </c>
      <c r="AG21">
        <v>0</v>
      </c>
      <c r="AH21">
        <v>0</v>
      </c>
      <c r="AJ21">
        <v>56.71</v>
      </c>
      <c r="AL21">
        <v>576.5</v>
      </c>
      <c r="AM21">
        <v>484.54</v>
      </c>
      <c r="AN21">
        <v>381.47</v>
      </c>
      <c r="AO21">
        <v>-17494.099999999999</v>
      </c>
      <c r="AP21">
        <v>41.42</v>
      </c>
      <c r="AQ21">
        <v>274.01</v>
      </c>
      <c r="AR21">
        <v>0</v>
      </c>
      <c r="AS21">
        <v>214.98</v>
      </c>
      <c r="AT21">
        <v>0</v>
      </c>
      <c r="AU21">
        <v>10.16</v>
      </c>
      <c r="AV21">
        <v>12.24</v>
      </c>
      <c r="AW21">
        <v>156.84</v>
      </c>
      <c r="AX21">
        <v>0</v>
      </c>
      <c r="AY21">
        <v>308.02999999999997</v>
      </c>
      <c r="AZ21">
        <v>19.66</v>
      </c>
      <c r="BA21">
        <v>118.79</v>
      </c>
      <c r="BB21">
        <v>116.17</v>
      </c>
      <c r="BC21">
        <v>121.42</v>
      </c>
    </row>
    <row r="22" spans="1:55" x14ac:dyDescent="0.2">
      <c r="A22" s="113" t="s">
        <v>42</v>
      </c>
      <c r="C22">
        <v>28.05</v>
      </c>
      <c r="E22">
        <v>36.18</v>
      </c>
      <c r="F22">
        <v>262.01</v>
      </c>
      <c r="H22">
        <v>264.08</v>
      </c>
      <c r="I22">
        <v>658.37</v>
      </c>
      <c r="K22">
        <v>113.86</v>
      </c>
      <c r="L22">
        <v>17.41</v>
      </c>
      <c r="M22">
        <v>220.56</v>
      </c>
      <c r="N22">
        <v>61.16</v>
      </c>
      <c r="O22">
        <v>157.37</v>
      </c>
      <c r="P22">
        <v>67.59</v>
      </c>
      <c r="Q22">
        <v>263.39999999999998</v>
      </c>
      <c r="R22">
        <v>141.93</v>
      </c>
      <c r="S22">
        <v>240.61</v>
      </c>
      <c r="U22">
        <v>16.97</v>
      </c>
      <c r="V22">
        <v>237.15</v>
      </c>
      <c r="W22">
        <v>16.63</v>
      </c>
      <c r="X22">
        <v>13.55</v>
      </c>
      <c r="Y22">
        <v>885.07</v>
      </c>
      <c r="Z22">
        <v>193.76</v>
      </c>
      <c r="AA22">
        <v>3794.99</v>
      </c>
      <c r="AB22">
        <v>1178.73</v>
      </c>
      <c r="AC22">
        <v>35.04</v>
      </c>
      <c r="AD22">
        <v>0</v>
      </c>
      <c r="AE22">
        <v>107.71</v>
      </c>
      <c r="AF22">
        <v>1.39</v>
      </c>
      <c r="AG22">
        <v>0</v>
      </c>
      <c r="AH22">
        <v>0</v>
      </c>
      <c r="AJ22">
        <v>165.86</v>
      </c>
      <c r="AL22">
        <v>562.26</v>
      </c>
      <c r="AM22">
        <v>245.88</v>
      </c>
      <c r="AN22">
        <v>232.3</v>
      </c>
      <c r="AO22">
        <v>-17494.099999999999</v>
      </c>
      <c r="AP22">
        <v>0</v>
      </c>
      <c r="AQ22">
        <v>217.02</v>
      </c>
      <c r="AR22">
        <v>0</v>
      </c>
      <c r="AS22">
        <v>162.58000000000001</v>
      </c>
      <c r="AT22">
        <v>0</v>
      </c>
      <c r="AU22">
        <v>10.16</v>
      </c>
      <c r="AV22">
        <v>12.28</v>
      </c>
      <c r="AW22">
        <v>184.8</v>
      </c>
      <c r="AX22">
        <v>0</v>
      </c>
      <c r="AY22">
        <v>236.64</v>
      </c>
      <c r="AZ22">
        <v>13.97</v>
      </c>
      <c r="BA22">
        <v>93.67</v>
      </c>
      <c r="BB22">
        <v>96.62</v>
      </c>
      <c r="BC22">
        <v>742.34</v>
      </c>
    </row>
    <row r="23" spans="1:55" x14ac:dyDescent="0.2">
      <c r="A23" s="113" t="s">
        <v>43</v>
      </c>
      <c r="C23">
        <v>19.41</v>
      </c>
      <c r="E23">
        <v>38.159999999999997</v>
      </c>
      <c r="F23">
        <v>65.84</v>
      </c>
      <c r="H23">
        <v>130.58000000000001</v>
      </c>
      <c r="I23">
        <v>121.53</v>
      </c>
      <c r="K23">
        <v>54.3</v>
      </c>
      <c r="L23">
        <v>18.47</v>
      </c>
      <c r="M23">
        <v>56.78</v>
      </c>
      <c r="N23">
        <v>22.02</v>
      </c>
      <c r="O23">
        <v>49.37</v>
      </c>
      <c r="P23">
        <v>41.48</v>
      </c>
      <c r="Q23">
        <v>125.45</v>
      </c>
      <c r="R23">
        <v>82.69</v>
      </c>
      <c r="S23">
        <v>99.34</v>
      </c>
      <c r="U23">
        <v>14.94</v>
      </c>
      <c r="V23">
        <v>60.72</v>
      </c>
      <c r="W23">
        <v>15.56</v>
      </c>
      <c r="X23">
        <v>13.55</v>
      </c>
      <c r="Y23">
        <v>298.66000000000003</v>
      </c>
      <c r="Z23">
        <v>38.659999999999997</v>
      </c>
      <c r="AA23">
        <v>2548.31</v>
      </c>
      <c r="AB23">
        <v>655.04999999999995</v>
      </c>
      <c r="AC23">
        <v>6.23</v>
      </c>
      <c r="AD23">
        <v>0</v>
      </c>
      <c r="AE23">
        <v>64.73</v>
      </c>
      <c r="AF23">
        <v>0</v>
      </c>
      <c r="AG23">
        <v>0</v>
      </c>
      <c r="AH23">
        <v>0</v>
      </c>
      <c r="AJ23">
        <v>54.52</v>
      </c>
      <c r="AL23">
        <v>427.53</v>
      </c>
      <c r="AM23">
        <v>-1599.13</v>
      </c>
      <c r="AN23">
        <v>36.99</v>
      </c>
      <c r="AO23">
        <v>-17494.099999999999</v>
      </c>
      <c r="AP23">
        <v>5.08</v>
      </c>
      <c r="AQ23">
        <v>102.96</v>
      </c>
      <c r="AR23">
        <v>0</v>
      </c>
      <c r="AS23">
        <v>67.94</v>
      </c>
      <c r="AT23">
        <v>0</v>
      </c>
      <c r="AU23">
        <v>-4.1399999999999997</v>
      </c>
      <c r="AV23">
        <v>12.3</v>
      </c>
      <c r="AW23">
        <v>81.84</v>
      </c>
      <c r="AX23">
        <v>0</v>
      </c>
      <c r="AY23">
        <v>86.4</v>
      </c>
      <c r="AZ23">
        <v>10.16</v>
      </c>
      <c r="BA23">
        <v>49.51</v>
      </c>
      <c r="BB23">
        <v>64.319999999999993</v>
      </c>
      <c r="BC23">
        <v>317.63</v>
      </c>
    </row>
    <row r="24" spans="1:55" x14ac:dyDescent="0.2">
      <c r="A24" s="113" t="s">
        <v>44</v>
      </c>
      <c r="C24">
        <v>17.93</v>
      </c>
      <c r="E24">
        <v>28.32</v>
      </c>
      <c r="F24">
        <v>13</v>
      </c>
      <c r="H24">
        <v>19.87</v>
      </c>
      <c r="I24">
        <v>19.87</v>
      </c>
      <c r="K24">
        <v>23.47</v>
      </c>
      <c r="L24">
        <v>17.399999999999999</v>
      </c>
      <c r="M24">
        <v>27.33</v>
      </c>
      <c r="N24">
        <v>16.309999999999999</v>
      </c>
      <c r="O24">
        <v>14.19</v>
      </c>
      <c r="P24">
        <v>15.57</v>
      </c>
      <c r="Q24">
        <v>47.34</v>
      </c>
      <c r="R24">
        <v>29.52</v>
      </c>
      <c r="S24">
        <v>21.08</v>
      </c>
      <c r="U24">
        <v>17.809999999999999</v>
      </c>
      <c r="V24">
        <v>27.33</v>
      </c>
      <c r="W24">
        <v>15.17</v>
      </c>
      <c r="X24">
        <v>13.55</v>
      </c>
      <c r="Y24">
        <v>59.08</v>
      </c>
      <c r="Z24">
        <v>21.59</v>
      </c>
      <c r="AA24">
        <v>429.49</v>
      </c>
      <c r="AB24">
        <v>486.55</v>
      </c>
      <c r="AC24">
        <v>0</v>
      </c>
      <c r="AD24">
        <v>0</v>
      </c>
      <c r="AE24">
        <v>33.94</v>
      </c>
      <c r="AF24">
        <v>0</v>
      </c>
      <c r="AG24">
        <v>0</v>
      </c>
      <c r="AH24">
        <v>0</v>
      </c>
      <c r="AJ24">
        <v>51.57</v>
      </c>
      <c r="AL24">
        <v>177.13</v>
      </c>
      <c r="AM24">
        <v>-1565.18</v>
      </c>
      <c r="AN24">
        <v>11.36</v>
      </c>
      <c r="AO24">
        <v>-17494.099999999999</v>
      </c>
      <c r="AP24">
        <v>0.96</v>
      </c>
      <c r="AQ24">
        <v>31.46</v>
      </c>
      <c r="AR24">
        <v>0</v>
      </c>
      <c r="AS24">
        <v>7</v>
      </c>
      <c r="AT24">
        <v>0</v>
      </c>
      <c r="AV24">
        <v>12.07</v>
      </c>
      <c r="AW24">
        <v>36.53</v>
      </c>
      <c r="AX24">
        <v>0</v>
      </c>
      <c r="AY24">
        <v>38.33</v>
      </c>
      <c r="AZ24">
        <v>10.16</v>
      </c>
      <c r="BA24">
        <v>0</v>
      </c>
      <c r="BB24">
        <v>36.96</v>
      </c>
      <c r="BC24">
        <v>158.24</v>
      </c>
    </row>
    <row r="25" spans="1:55" x14ac:dyDescent="0.2">
      <c r="A25" s="113" t="s">
        <v>45</v>
      </c>
      <c r="C25">
        <v>17.41</v>
      </c>
      <c r="E25">
        <v>28.27</v>
      </c>
      <c r="F25">
        <v>13</v>
      </c>
      <c r="H25">
        <v>18.510000000000002</v>
      </c>
      <c r="I25">
        <v>13.55</v>
      </c>
      <c r="K25">
        <v>14.09</v>
      </c>
      <c r="L25">
        <v>16.29</v>
      </c>
      <c r="M25">
        <v>17.39</v>
      </c>
      <c r="N25">
        <v>16.829999999999998</v>
      </c>
      <c r="O25">
        <v>14.19</v>
      </c>
      <c r="P25">
        <v>9.84</v>
      </c>
      <c r="Q25">
        <v>19.84</v>
      </c>
      <c r="R25">
        <v>18.41</v>
      </c>
      <c r="S25">
        <v>15.25</v>
      </c>
      <c r="U25">
        <v>16.98</v>
      </c>
      <c r="V25">
        <v>16.29</v>
      </c>
      <c r="W25">
        <v>14.59</v>
      </c>
      <c r="X25">
        <v>13.55</v>
      </c>
      <c r="Y25">
        <v>27.37</v>
      </c>
      <c r="Z25">
        <v>13.67</v>
      </c>
      <c r="AA25">
        <v>125.37</v>
      </c>
      <c r="AB25">
        <v>575.29</v>
      </c>
      <c r="AC25">
        <v>0</v>
      </c>
      <c r="AD25">
        <v>0</v>
      </c>
      <c r="AE25">
        <v>27.82</v>
      </c>
      <c r="AF25">
        <v>0</v>
      </c>
      <c r="AG25">
        <v>0</v>
      </c>
      <c r="AH25">
        <v>0</v>
      </c>
      <c r="AJ25">
        <v>32.51</v>
      </c>
      <c r="AL25">
        <v>145.81</v>
      </c>
      <c r="AM25">
        <v>-1547.88</v>
      </c>
      <c r="AN25">
        <v>0</v>
      </c>
      <c r="AO25">
        <v>-17494.099999999999</v>
      </c>
      <c r="AP25">
        <v>0</v>
      </c>
      <c r="AQ25">
        <v>3.62</v>
      </c>
      <c r="AR25">
        <v>1.17</v>
      </c>
      <c r="AS25">
        <v>0</v>
      </c>
      <c r="AT25">
        <v>0</v>
      </c>
      <c r="AV25">
        <v>12.85</v>
      </c>
      <c r="AW25">
        <v>14.09</v>
      </c>
      <c r="AX25">
        <v>0</v>
      </c>
      <c r="AY25">
        <v>14.65</v>
      </c>
      <c r="AZ25">
        <v>10.16</v>
      </c>
      <c r="BA25">
        <v>49.63</v>
      </c>
      <c r="BB25">
        <v>17.93</v>
      </c>
      <c r="BC25">
        <v>60.99</v>
      </c>
    </row>
    <row r="26" spans="1:55" x14ac:dyDescent="0.2">
      <c r="A26" s="113" t="s">
        <v>46</v>
      </c>
      <c r="C26">
        <v>17.399999999999999</v>
      </c>
      <c r="E26">
        <v>22.49</v>
      </c>
      <c r="F26">
        <v>13</v>
      </c>
      <c r="H26">
        <v>19.05</v>
      </c>
      <c r="I26">
        <v>13.55</v>
      </c>
      <c r="K26">
        <v>13.55</v>
      </c>
      <c r="L26">
        <v>16.850000000000001</v>
      </c>
      <c r="M26">
        <v>17.39</v>
      </c>
      <c r="N26">
        <v>16.829999999999998</v>
      </c>
      <c r="O26">
        <v>13.67</v>
      </c>
      <c r="P26">
        <v>13.12</v>
      </c>
      <c r="Q26">
        <v>13</v>
      </c>
      <c r="R26">
        <v>15.76</v>
      </c>
      <c r="S26">
        <v>13.67</v>
      </c>
      <c r="U26">
        <v>16.149999999999999</v>
      </c>
      <c r="V26">
        <v>16.3</v>
      </c>
      <c r="W26">
        <v>14.05</v>
      </c>
      <c r="X26">
        <v>13.55</v>
      </c>
      <c r="Y26">
        <v>27.38</v>
      </c>
      <c r="Z26">
        <v>13.67</v>
      </c>
      <c r="AA26">
        <v>114.34</v>
      </c>
      <c r="AB26">
        <v>671.92</v>
      </c>
      <c r="AC26">
        <v>0</v>
      </c>
      <c r="AD26">
        <v>0</v>
      </c>
      <c r="AE26">
        <v>25.65</v>
      </c>
      <c r="AF26">
        <v>1.17</v>
      </c>
      <c r="AG26">
        <v>0</v>
      </c>
      <c r="AH26">
        <v>0</v>
      </c>
      <c r="AJ26">
        <v>13</v>
      </c>
      <c r="AL26">
        <v>107.93</v>
      </c>
      <c r="AM26">
        <v>-1532.71</v>
      </c>
      <c r="AN26">
        <v>0</v>
      </c>
      <c r="AO26">
        <v>-17494.099999999999</v>
      </c>
      <c r="AP26">
        <v>0</v>
      </c>
      <c r="AQ26">
        <v>2.71</v>
      </c>
      <c r="AR26">
        <v>0</v>
      </c>
      <c r="AS26">
        <v>0</v>
      </c>
      <c r="AT26">
        <v>0</v>
      </c>
      <c r="AV26">
        <v>12.07</v>
      </c>
      <c r="AW26">
        <v>15.2</v>
      </c>
      <c r="AX26">
        <v>0</v>
      </c>
      <c r="AY26">
        <v>13.55</v>
      </c>
      <c r="AZ26">
        <v>10.16</v>
      </c>
      <c r="BA26">
        <v>0</v>
      </c>
      <c r="BB26">
        <v>17.920000000000002</v>
      </c>
      <c r="BC26">
        <v>82.52</v>
      </c>
    </row>
    <row r="27" spans="1:55" x14ac:dyDescent="0.2">
      <c r="A27" s="113" t="s">
        <v>47</v>
      </c>
      <c r="C27">
        <v>17.920000000000002</v>
      </c>
      <c r="E27">
        <v>24.6</v>
      </c>
      <c r="F27">
        <v>13</v>
      </c>
      <c r="H27">
        <v>18.5</v>
      </c>
      <c r="I27">
        <v>13.55</v>
      </c>
      <c r="K27">
        <v>13.55</v>
      </c>
      <c r="L27">
        <v>18.5</v>
      </c>
      <c r="M27">
        <v>17.399999999999999</v>
      </c>
      <c r="N27">
        <v>17.36</v>
      </c>
      <c r="O27">
        <v>13.67</v>
      </c>
      <c r="P27">
        <v>17.2</v>
      </c>
      <c r="Q27">
        <v>13.53</v>
      </c>
      <c r="R27">
        <v>15.76</v>
      </c>
      <c r="S27">
        <v>14.2</v>
      </c>
      <c r="U27">
        <v>14.44</v>
      </c>
      <c r="V27">
        <v>15.73</v>
      </c>
      <c r="W27">
        <v>14.59</v>
      </c>
      <c r="X27">
        <v>13.55</v>
      </c>
      <c r="Y27">
        <v>28.43</v>
      </c>
      <c r="Z27">
        <v>14.2</v>
      </c>
      <c r="AA27">
        <v>126.52</v>
      </c>
      <c r="AB27">
        <v>88.01</v>
      </c>
      <c r="AC27">
        <v>277.08999999999997</v>
      </c>
      <c r="AD27">
        <v>0</v>
      </c>
      <c r="AE27">
        <v>29.49</v>
      </c>
      <c r="AF27">
        <v>0</v>
      </c>
      <c r="AG27">
        <v>0</v>
      </c>
      <c r="AH27">
        <v>0</v>
      </c>
      <c r="AJ27">
        <v>387.87</v>
      </c>
      <c r="AL27">
        <v>132.78</v>
      </c>
      <c r="AM27">
        <v>-1497.73</v>
      </c>
      <c r="AN27">
        <v>4.72</v>
      </c>
      <c r="AO27">
        <v>-17494.099999999999</v>
      </c>
      <c r="AP27">
        <v>0</v>
      </c>
      <c r="AQ27">
        <v>3.61</v>
      </c>
      <c r="AR27">
        <v>0</v>
      </c>
      <c r="AS27">
        <v>0</v>
      </c>
      <c r="AT27">
        <v>0</v>
      </c>
      <c r="AV27">
        <v>12.07</v>
      </c>
      <c r="AW27">
        <v>22.35</v>
      </c>
      <c r="AX27">
        <v>7.25</v>
      </c>
      <c r="AY27">
        <v>13.55</v>
      </c>
      <c r="AZ27">
        <v>10.16</v>
      </c>
      <c r="BA27">
        <v>0</v>
      </c>
      <c r="BB27">
        <v>17.41</v>
      </c>
      <c r="BC27">
        <v>244.09</v>
      </c>
    </row>
    <row r="28" spans="1:55" x14ac:dyDescent="0.2">
      <c r="A28" s="113" t="s">
        <v>48</v>
      </c>
      <c r="C28">
        <v>22.69</v>
      </c>
      <c r="E28">
        <v>23.55</v>
      </c>
      <c r="F28">
        <v>13</v>
      </c>
      <c r="H28">
        <v>19.05</v>
      </c>
      <c r="I28">
        <v>13.55</v>
      </c>
      <c r="K28">
        <v>13.55</v>
      </c>
      <c r="L28">
        <v>16.850000000000001</v>
      </c>
      <c r="M28">
        <v>17.399999999999999</v>
      </c>
      <c r="N28">
        <v>16.829999999999998</v>
      </c>
      <c r="O28">
        <v>13.67</v>
      </c>
      <c r="P28">
        <v>15.59</v>
      </c>
      <c r="Q28">
        <v>13</v>
      </c>
      <c r="R28">
        <v>15.26</v>
      </c>
      <c r="S28">
        <v>13.67</v>
      </c>
      <c r="U28">
        <v>16.16</v>
      </c>
      <c r="V28">
        <v>16.3</v>
      </c>
      <c r="W28">
        <v>14.05</v>
      </c>
      <c r="X28">
        <v>13.55</v>
      </c>
      <c r="Y28">
        <v>26.87</v>
      </c>
      <c r="Z28">
        <v>13.67</v>
      </c>
      <c r="AA28">
        <v>114.45</v>
      </c>
      <c r="AB28">
        <v>479.56</v>
      </c>
      <c r="AC28">
        <v>3869.06</v>
      </c>
      <c r="AD28">
        <v>392.56</v>
      </c>
      <c r="AE28">
        <v>27.3</v>
      </c>
      <c r="AF28">
        <v>877.71</v>
      </c>
      <c r="AG28">
        <v>0</v>
      </c>
      <c r="AH28">
        <v>5.8</v>
      </c>
      <c r="AJ28">
        <v>6895.73</v>
      </c>
      <c r="AL28">
        <v>1608.56</v>
      </c>
      <c r="AM28">
        <v>23305.49</v>
      </c>
      <c r="AN28">
        <v>1592</v>
      </c>
      <c r="AO28">
        <v>-8605.65</v>
      </c>
      <c r="AP28">
        <v>14.05</v>
      </c>
      <c r="AQ28">
        <v>11.33</v>
      </c>
      <c r="AR28">
        <v>0</v>
      </c>
      <c r="AS28">
        <v>0.48</v>
      </c>
      <c r="AT28">
        <v>231.76</v>
      </c>
      <c r="AV28">
        <v>16.170000000000002</v>
      </c>
      <c r="AW28">
        <v>16.3</v>
      </c>
      <c r="AX28">
        <v>279.82</v>
      </c>
      <c r="AY28">
        <v>13.55</v>
      </c>
      <c r="AZ28">
        <v>10.16</v>
      </c>
      <c r="BA28">
        <v>1501.36</v>
      </c>
      <c r="BB28">
        <v>17.41</v>
      </c>
      <c r="BC28">
        <v>603.17999999999995</v>
      </c>
    </row>
    <row r="29" spans="1:55" x14ac:dyDescent="0.2">
      <c r="A29" s="113" t="s">
        <v>49</v>
      </c>
      <c r="C29">
        <v>27.01</v>
      </c>
      <c r="E29">
        <v>25.76</v>
      </c>
      <c r="F29">
        <v>14.67</v>
      </c>
      <c r="H29">
        <v>20.79</v>
      </c>
      <c r="I29">
        <v>15.29</v>
      </c>
      <c r="K29">
        <v>15.29</v>
      </c>
      <c r="L29">
        <v>19.14</v>
      </c>
      <c r="M29">
        <v>19.14</v>
      </c>
      <c r="N29">
        <v>17.98</v>
      </c>
      <c r="O29">
        <v>15.87</v>
      </c>
      <c r="P29">
        <v>16.98</v>
      </c>
      <c r="Q29">
        <v>14.67</v>
      </c>
      <c r="R29">
        <v>17.440000000000001</v>
      </c>
      <c r="S29">
        <v>15.34</v>
      </c>
      <c r="U29">
        <v>18.53</v>
      </c>
      <c r="V29">
        <v>18.05</v>
      </c>
      <c r="W29">
        <v>16.25</v>
      </c>
      <c r="X29">
        <v>13.55</v>
      </c>
      <c r="Y29">
        <v>29.06</v>
      </c>
      <c r="Z29">
        <v>15.34</v>
      </c>
      <c r="AA29">
        <v>114.6</v>
      </c>
      <c r="AB29">
        <v>543.28</v>
      </c>
      <c r="AC29">
        <v>8004.36</v>
      </c>
      <c r="AD29">
        <v>982.43</v>
      </c>
      <c r="AE29">
        <v>34.020000000000003</v>
      </c>
      <c r="AF29">
        <v>17511.91</v>
      </c>
      <c r="AG29">
        <v>10984.12</v>
      </c>
      <c r="AH29">
        <v>24768.95</v>
      </c>
      <c r="AJ29">
        <v>10187.74</v>
      </c>
      <c r="AL29">
        <v>18353.240000000002</v>
      </c>
      <c r="AM29">
        <v>54993.14</v>
      </c>
      <c r="AN29">
        <v>24195.99</v>
      </c>
      <c r="AO29">
        <v>26339.27</v>
      </c>
      <c r="AP29">
        <v>19625.240000000002</v>
      </c>
      <c r="AQ29">
        <v>13053.31</v>
      </c>
      <c r="AR29">
        <v>16379.76</v>
      </c>
      <c r="AS29">
        <v>8660.4</v>
      </c>
      <c r="AT29">
        <v>9579.07</v>
      </c>
      <c r="AV29">
        <v>18.440000000000001</v>
      </c>
      <c r="AW29">
        <v>15.85</v>
      </c>
      <c r="AX29">
        <v>9591.2199999999993</v>
      </c>
      <c r="AY29">
        <v>15.29</v>
      </c>
      <c r="AZ29">
        <v>11.21</v>
      </c>
      <c r="BA29">
        <v>40270.17</v>
      </c>
      <c r="BB29">
        <v>19.079999999999998</v>
      </c>
      <c r="BC29">
        <v>64.55</v>
      </c>
    </row>
    <row r="30" spans="1:55" x14ac:dyDescent="0.2">
      <c r="A30" s="113" t="s">
        <v>50</v>
      </c>
      <c r="C30">
        <v>25.96</v>
      </c>
      <c r="E30">
        <v>23.28</v>
      </c>
      <c r="F30">
        <v>14.67</v>
      </c>
      <c r="H30">
        <v>20.25</v>
      </c>
      <c r="I30">
        <v>15.29</v>
      </c>
      <c r="K30">
        <v>15.98</v>
      </c>
      <c r="L30">
        <v>20.81</v>
      </c>
      <c r="M30">
        <v>20.13</v>
      </c>
      <c r="N30">
        <v>19.98</v>
      </c>
      <c r="O30">
        <v>15.34</v>
      </c>
      <c r="P30">
        <v>18.850000000000001</v>
      </c>
      <c r="Q30">
        <v>19.96</v>
      </c>
      <c r="R30">
        <v>34.549999999999997</v>
      </c>
      <c r="S30">
        <v>15.34</v>
      </c>
      <c r="U30">
        <v>19.559999999999999</v>
      </c>
      <c r="V30">
        <v>18.739999999999998</v>
      </c>
      <c r="W30">
        <v>15.72</v>
      </c>
      <c r="X30">
        <v>15.29</v>
      </c>
      <c r="Y30">
        <v>34.549999999999997</v>
      </c>
      <c r="Z30">
        <v>16</v>
      </c>
      <c r="AA30">
        <v>160.88999999999999</v>
      </c>
      <c r="AB30">
        <v>1446.57</v>
      </c>
      <c r="AC30">
        <v>1657.8</v>
      </c>
      <c r="AD30">
        <v>706.65</v>
      </c>
      <c r="AE30">
        <v>57.42</v>
      </c>
      <c r="AF30">
        <v>9110.9</v>
      </c>
      <c r="AG30">
        <v>10018.91</v>
      </c>
      <c r="AH30">
        <v>12849.19</v>
      </c>
      <c r="AJ30">
        <v>3231.72</v>
      </c>
      <c r="AL30">
        <v>12357.4</v>
      </c>
      <c r="AM30">
        <v>6834.86</v>
      </c>
      <c r="AN30">
        <v>10998.79</v>
      </c>
      <c r="AO30">
        <v>3167.97</v>
      </c>
      <c r="AP30">
        <v>19816.53</v>
      </c>
      <c r="AQ30">
        <v>11126.59</v>
      </c>
      <c r="AR30">
        <v>6766.24</v>
      </c>
      <c r="AS30">
        <v>3712.18</v>
      </c>
      <c r="AT30">
        <v>10874.4</v>
      </c>
      <c r="AV30">
        <v>15.42</v>
      </c>
      <c r="AW30">
        <v>16.940000000000001</v>
      </c>
      <c r="AX30">
        <v>5568.01</v>
      </c>
      <c r="AY30">
        <v>15.98</v>
      </c>
      <c r="AZ30">
        <v>11.21</v>
      </c>
      <c r="BA30">
        <v>35022.46</v>
      </c>
      <c r="BB30">
        <v>19.600000000000001</v>
      </c>
      <c r="BC30">
        <v>132.62</v>
      </c>
    </row>
    <row r="31" spans="1:55" x14ac:dyDescent="0.2">
      <c r="A31" s="113" t="s">
        <v>51</v>
      </c>
      <c r="C31">
        <v>21.31</v>
      </c>
      <c r="E31">
        <v>23.9</v>
      </c>
      <c r="F31">
        <v>160.66999999999999</v>
      </c>
      <c r="H31">
        <v>22.15</v>
      </c>
      <c r="I31">
        <v>16.66</v>
      </c>
      <c r="K31">
        <v>44.85</v>
      </c>
      <c r="L31">
        <v>20.11</v>
      </c>
      <c r="M31">
        <v>57.23</v>
      </c>
      <c r="N31">
        <v>20.61</v>
      </c>
      <c r="O31">
        <v>78.239999999999995</v>
      </c>
      <c r="P31">
        <v>56.58</v>
      </c>
      <c r="Q31">
        <v>102.5</v>
      </c>
      <c r="R31">
        <v>99.11</v>
      </c>
      <c r="S31">
        <v>15.34</v>
      </c>
      <c r="U31">
        <v>22.61</v>
      </c>
      <c r="V31">
        <v>125.36</v>
      </c>
      <c r="W31">
        <v>16.649999999999999</v>
      </c>
      <c r="X31">
        <v>15.29</v>
      </c>
      <c r="Y31">
        <v>410.98</v>
      </c>
      <c r="Z31">
        <v>58.87</v>
      </c>
      <c r="AA31">
        <v>1770.21</v>
      </c>
      <c r="AB31">
        <v>1228.72</v>
      </c>
      <c r="AC31">
        <v>1.47</v>
      </c>
      <c r="AD31">
        <v>0</v>
      </c>
      <c r="AE31">
        <v>102.48</v>
      </c>
      <c r="AF31">
        <v>733.1</v>
      </c>
      <c r="AG31">
        <v>1623.26</v>
      </c>
      <c r="AH31">
        <v>1999.92</v>
      </c>
      <c r="AJ31">
        <v>222.4</v>
      </c>
      <c r="AL31">
        <v>933.68</v>
      </c>
      <c r="AM31">
        <v>1782.57</v>
      </c>
      <c r="AN31">
        <v>4420.75</v>
      </c>
      <c r="AO31">
        <v>0</v>
      </c>
      <c r="AP31">
        <v>3575.62</v>
      </c>
      <c r="AQ31">
        <v>939.73</v>
      </c>
      <c r="AR31">
        <v>0</v>
      </c>
      <c r="AS31">
        <v>16.07</v>
      </c>
      <c r="AT31">
        <v>1474.6</v>
      </c>
      <c r="AV31">
        <v>13.42</v>
      </c>
      <c r="AW31">
        <v>20.11</v>
      </c>
      <c r="AX31">
        <v>1964.92</v>
      </c>
      <c r="AY31">
        <v>89.98</v>
      </c>
      <c r="AZ31">
        <v>11.21</v>
      </c>
      <c r="BA31">
        <v>649.27</v>
      </c>
      <c r="BB31">
        <v>29.24</v>
      </c>
      <c r="BC31">
        <v>96.4</v>
      </c>
    </row>
    <row r="32" spans="1:55" x14ac:dyDescent="0.2">
      <c r="A32" s="113" t="s">
        <v>52</v>
      </c>
      <c r="C32">
        <v>87.24</v>
      </c>
      <c r="E32">
        <v>28.74</v>
      </c>
      <c r="F32">
        <v>330.09</v>
      </c>
      <c r="H32">
        <v>212.09</v>
      </c>
      <c r="I32">
        <v>634.20000000000005</v>
      </c>
      <c r="K32">
        <v>122.31</v>
      </c>
      <c r="L32">
        <v>21.58</v>
      </c>
      <c r="M32">
        <v>333</v>
      </c>
      <c r="N32">
        <v>74.37</v>
      </c>
      <c r="O32">
        <v>167.89</v>
      </c>
      <c r="Q32">
        <v>305.18</v>
      </c>
      <c r="R32">
        <v>167.22</v>
      </c>
      <c r="S32">
        <v>332.78</v>
      </c>
      <c r="U32">
        <v>23.86</v>
      </c>
      <c r="V32">
        <v>374.56</v>
      </c>
      <c r="W32">
        <v>17.97</v>
      </c>
      <c r="Y32">
        <v>1272.67</v>
      </c>
      <c r="Z32">
        <v>254.71</v>
      </c>
      <c r="AA32">
        <v>4004.67</v>
      </c>
      <c r="AB32">
        <v>962.68</v>
      </c>
      <c r="AD32">
        <v>0</v>
      </c>
      <c r="AE32">
        <v>208.03</v>
      </c>
      <c r="AF32">
        <v>2.92</v>
      </c>
      <c r="AG32">
        <v>0</v>
      </c>
      <c r="AH32">
        <v>0</v>
      </c>
      <c r="AL32">
        <v>976.24</v>
      </c>
      <c r="AM32">
        <v>892.63</v>
      </c>
      <c r="AN32">
        <v>504.4</v>
      </c>
      <c r="AO32">
        <v>298.77</v>
      </c>
      <c r="AP32">
        <v>1032.7</v>
      </c>
      <c r="AQ32">
        <v>278.32</v>
      </c>
      <c r="AR32">
        <v>0</v>
      </c>
      <c r="AS32">
        <v>231.62</v>
      </c>
      <c r="AT32">
        <v>3.05</v>
      </c>
      <c r="AV32">
        <v>14.46</v>
      </c>
      <c r="AW32">
        <v>138.51</v>
      </c>
      <c r="AX32">
        <v>0</v>
      </c>
      <c r="AY32">
        <v>321.8</v>
      </c>
      <c r="AZ32">
        <v>11.21</v>
      </c>
      <c r="BA32">
        <v>78.680000000000007</v>
      </c>
      <c r="BB32">
        <v>103.08</v>
      </c>
    </row>
    <row r="33" spans="1:55" ht="13.5" thickBot="1" x14ac:dyDescent="0.25">
      <c r="A33" s="106" t="s">
        <v>58</v>
      </c>
      <c r="B33" s="116">
        <f>SUM(B21:B32)</f>
        <v>0</v>
      </c>
      <c r="C33" s="116">
        <f>SUM(C21:C32)</f>
        <v>426.77</v>
      </c>
      <c r="D33" s="116"/>
      <c r="E33" s="116">
        <f t="shared" ref="E33:AY33" si="5">SUM(E21:E32)</f>
        <v>338.48</v>
      </c>
      <c r="F33" s="116">
        <f t="shared" si="5"/>
        <v>1176.8899999999999</v>
      </c>
      <c r="G33" s="117">
        <f t="shared" si="5"/>
        <v>0</v>
      </c>
      <c r="H33" s="116">
        <f t="shared" si="5"/>
        <v>846.4899999999999</v>
      </c>
      <c r="I33" s="117">
        <f t="shared" si="5"/>
        <v>2156.4499999999998</v>
      </c>
      <c r="J33" s="118">
        <f t="shared" si="5"/>
        <v>0</v>
      </c>
      <c r="K33" s="117">
        <f t="shared" si="5"/>
        <v>572.21</v>
      </c>
      <c r="L33" s="117">
        <f t="shared" si="5"/>
        <v>222.01999999999998</v>
      </c>
      <c r="M33" s="117">
        <f t="shared" si="5"/>
        <v>1084.4299999999998</v>
      </c>
      <c r="N33" s="117">
        <f t="shared" si="5"/>
        <v>390.21000000000004</v>
      </c>
      <c r="O33" s="119">
        <f t="shared" si="5"/>
        <v>745.31000000000006</v>
      </c>
      <c r="P33" s="117">
        <f t="shared" si="5"/>
        <v>339.63</v>
      </c>
      <c r="Q33" s="119">
        <f t="shared" si="5"/>
        <v>1274.83</v>
      </c>
      <c r="R33" s="119">
        <f t="shared" si="5"/>
        <v>788.59</v>
      </c>
      <c r="S33" s="119">
        <f t="shared" si="5"/>
        <v>1274.58</v>
      </c>
      <c r="T33" s="117">
        <f t="shared" si="5"/>
        <v>0</v>
      </c>
      <c r="U33" s="119">
        <f t="shared" si="5"/>
        <v>212.93</v>
      </c>
      <c r="V33" s="119">
        <f t="shared" si="5"/>
        <v>1254.4299999999998</v>
      </c>
      <c r="W33" s="117">
        <f t="shared" si="5"/>
        <v>187.4</v>
      </c>
      <c r="X33" s="119">
        <f t="shared" si="5"/>
        <v>152.52999999999997</v>
      </c>
      <c r="Y33" s="119">
        <f t="shared" si="5"/>
        <v>4237.54</v>
      </c>
      <c r="Z33" s="119">
        <f t="shared" si="5"/>
        <v>920.4</v>
      </c>
      <c r="AA33" s="119">
        <f t="shared" si="5"/>
        <v>16590.43</v>
      </c>
      <c r="AB33" s="119">
        <f t="shared" si="5"/>
        <v>9559.23</v>
      </c>
      <c r="AC33" s="119">
        <f>SUM(AC21:AC32)</f>
        <v>13893.749999999998</v>
      </c>
      <c r="AD33" s="119">
        <f>SUM(AD21:AD32)</f>
        <v>2081.64</v>
      </c>
      <c r="AE33" s="119"/>
      <c r="AF33" s="119">
        <f>SUM(AF21:AF32)</f>
        <v>28239.1</v>
      </c>
      <c r="AG33" s="119">
        <f>SUM(AG21:AG32)</f>
        <v>22626.289999999997</v>
      </c>
      <c r="AH33" s="119">
        <f>SUM(AH21:AH32)</f>
        <v>39623.86</v>
      </c>
      <c r="AI33" s="119">
        <f>SUM(AI21:AI32)</f>
        <v>0</v>
      </c>
      <c r="AJ33" s="119">
        <f>SUM(AJ21:AJ32)</f>
        <v>21299.63</v>
      </c>
      <c r="AK33" s="119">
        <f t="shared" si="5"/>
        <v>0</v>
      </c>
      <c r="AL33" s="119">
        <f t="shared" si="5"/>
        <v>36359.06</v>
      </c>
      <c r="AM33" s="117">
        <f t="shared" si="5"/>
        <v>80796.48000000001</v>
      </c>
      <c r="AN33" s="117">
        <f t="shared" si="5"/>
        <v>42378.770000000004</v>
      </c>
      <c r="AO33" s="119">
        <f t="shared" si="5"/>
        <v>-101258.34</v>
      </c>
      <c r="AP33" s="119">
        <f t="shared" si="5"/>
        <v>44111.6</v>
      </c>
      <c r="AQ33" s="119">
        <f t="shared" si="5"/>
        <v>26044.67</v>
      </c>
      <c r="AR33" s="119">
        <f t="shared" si="5"/>
        <v>23147.17</v>
      </c>
      <c r="AS33" s="119">
        <f t="shared" si="5"/>
        <v>13073.25</v>
      </c>
      <c r="AT33" s="119">
        <f t="shared" si="5"/>
        <v>22162.879999999997</v>
      </c>
      <c r="AU33" s="119">
        <f t="shared" si="5"/>
        <v>16.18</v>
      </c>
      <c r="AV33" s="119">
        <f t="shared" si="5"/>
        <v>163.79</v>
      </c>
      <c r="AW33" s="119">
        <f t="shared" si="5"/>
        <v>719.36</v>
      </c>
      <c r="AX33" s="119">
        <f>SUM(AX21:AX32)</f>
        <v>17411.22</v>
      </c>
      <c r="AY33" s="119">
        <f t="shared" si="5"/>
        <v>1167.7499999999998</v>
      </c>
      <c r="AZ33" s="133"/>
      <c r="BA33" s="133"/>
      <c r="BB33" s="133"/>
      <c r="BC33" s="120"/>
    </row>
    <row r="34" spans="1:55" ht="13.5" thickTop="1" x14ac:dyDescent="0.2">
      <c r="A34" s="120"/>
      <c r="B34" s="120" t="str">
        <f t="shared" ref="B34:AY34" si="6">IF(B16=0,"",(B33/B16))</f>
        <v/>
      </c>
      <c r="C34" s="120">
        <f t="shared" si="6"/>
        <v>1.0065330188679245</v>
      </c>
      <c r="D34" s="120" t="str">
        <f t="shared" si="6"/>
        <v/>
      </c>
      <c r="E34" s="120">
        <f t="shared" si="6"/>
        <v>1.120794701986755</v>
      </c>
      <c r="F34" s="120">
        <f t="shared" si="6"/>
        <v>0.73647684605757191</v>
      </c>
      <c r="G34" s="120" t="str">
        <f t="shared" si="6"/>
        <v/>
      </c>
      <c r="H34" s="120">
        <f t="shared" si="6"/>
        <v>0.97521889400921646</v>
      </c>
      <c r="I34" s="120">
        <f t="shared" si="6"/>
        <v>0.69562903225806449</v>
      </c>
      <c r="J34" s="120" t="str">
        <f t="shared" si="6"/>
        <v/>
      </c>
      <c r="K34" s="120">
        <f t="shared" si="6"/>
        <v>0.92740680713128043</v>
      </c>
      <c r="L34" s="120">
        <f t="shared" si="6"/>
        <v>2.581627906976744</v>
      </c>
      <c r="M34" s="120">
        <f t="shared" si="6"/>
        <v>0.7779268292682926</v>
      </c>
      <c r="N34" s="120">
        <f t="shared" si="6"/>
        <v>1.1022881355932204</v>
      </c>
      <c r="O34" s="120">
        <f t="shared" si="6"/>
        <v>0.81902197802197807</v>
      </c>
      <c r="P34" s="120">
        <f t="shared" si="6"/>
        <v>1.3163953488372093</v>
      </c>
      <c r="Q34" s="120">
        <f t="shared" si="6"/>
        <v>0.7174057400112549</v>
      </c>
      <c r="R34" s="120">
        <f t="shared" si="6"/>
        <v>0.80141260162601624</v>
      </c>
      <c r="S34" s="120">
        <f t="shared" si="6"/>
        <v>0.72296086216676114</v>
      </c>
      <c r="T34" s="120" t="str">
        <f t="shared" si="6"/>
        <v/>
      </c>
      <c r="U34" s="120">
        <f t="shared" si="6"/>
        <v>2.4474712643678163</v>
      </c>
      <c r="V34" s="120">
        <f t="shared" si="6"/>
        <v>0.77290819470117056</v>
      </c>
      <c r="W34" s="120">
        <f t="shared" si="6"/>
        <v>4.461904761904762</v>
      </c>
      <c r="X34" s="120" t="str">
        <f t="shared" si="6"/>
        <v/>
      </c>
      <c r="Y34" s="120">
        <f t="shared" si="6"/>
        <v>0.65353793954349171</v>
      </c>
      <c r="Z34" s="120">
        <f t="shared" si="6"/>
        <v>0.77540016849199667</v>
      </c>
      <c r="AA34" s="120">
        <f t="shared" si="6"/>
        <v>0.60586604827812873</v>
      </c>
      <c r="AB34" s="120">
        <f t="shared" si="6"/>
        <v>0.60751382268827447</v>
      </c>
      <c r="AC34" s="120">
        <f t="shared" si="6"/>
        <v>0.37411142226291128</v>
      </c>
      <c r="AD34" s="120">
        <f t="shared" si="6"/>
        <v>0.50759326993416232</v>
      </c>
      <c r="AE34" s="120">
        <f t="shared" si="6"/>
        <v>0</v>
      </c>
      <c r="AF34" s="120">
        <f t="shared" si="6"/>
        <v>0.32153462528180721</v>
      </c>
      <c r="AG34" s="120">
        <f t="shared" si="6"/>
        <v>0.35287414223331248</v>
      </c>
      <c r="AH34" s="120">
        <f t="shared" si="6"/>
        <v>0.29816812274721388</v>
      </c>
      <c r="AI34" s="120" t="str">
        <f t="shared" si="6"/>
        <v/>
      </c>
      <c r="AJ34" s="120">
        <f t="shared" si="6"/>
        <v>0.50343023942896314</v>
      </c>
      <c r="AK34" s="120" t="str">
        <f t="shared" si="6"/>
        <v/>
      </c>
      <c r="AL34" s="120">
        <f t="shared" si="6"/>
        <v>0.40299996674831801</v>
      </c>
      <c r="AM34" s="120">
        <f t="shared" si="6"/>
        <v>0.40391575390060647</v>
      </c>
      <c r="AN34" s="120">
        <f t="shared" si="6"/>
        <v>0.39902425475020248</v>
      </c>
      <c r="AO34" s="120">
        <f t="shared" si="6"/>
        <v>-0.78416420788513808</v>
      </c>
      <c r="AP34" s="120">
        <f t="shared" si="6"/>
        <v>0.32201538843385452</v>
      </c>
      <c r="AQ34" s="120">
        <f t="shared" si="6"/>
        <v>0.33079317702644345</v>
      </c>
      <c r="AR34" s="120">
        <f t="shared" si="6"/>
        <v>0.31931975885996494</v>
      </c>
      <c r="AS34" s="120">
        <f t="shared" si="6"/>
        <v>0.41025701374505741</v>
      </c>
      <c r="AT34" s="120">
        <f t="shared" si="6"/>
        <v>0.3544699635340029</v>
      </c>
      <c r="AU34" s="120" t="str">
        <f t="shared" si="6"/>
        <v/>
      </c>
      <c r="AV34" s="120">
        <f t="shared" si="6"/>
        <v>4.1997435897435897</v>
      </c>
      <c r="AW34" s="120">
        <f t="shared" si="6"/>
        <v>0.81375565610859735</v>
      </c>
      <c r="AX34" s="120">
        <f t="shared" si="6"/>
        <v>0.36440393470071164</v>
      </c>
      <c r="AY34" s="120">
        <f t="shared" si="6"/>
        <v>0.76724704336399463</v>
      </c>
      <c r="AZ34" s="120"/>
      <c r="BA34" s="120"/>
      <c r="BB34" s="120"/>
      <c r="BC34" s="1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4"/>
  <sheetViews>
    <sheetView topLeftCell="Z6" workbookViewId="0">
      <selection activeCell="AM33" sqref="AM33"/>
    </sheetView>
  </sheetViews>
  <sheetFormatPr defaultRowHeight="12.75" x14ac:dyDescent="0.2"/>
  <cols>
    <col min="34" max="34" width="11.85546875" customWidth="1"/>
    <col min="39" max="39" width="10.28515625" customWidth="1"/>
    <col min="42" max="42" width="10.140625" customWidth="1"/>
    <col min="53" max="53" width="10.7109375" customWidth="1"/>
    <col min="55" max="56" width="11.5703125" customWidth="1"/>
  </cols>
  <sheetData>
    <row r="1" spans="1:56" x14ac:dyDescent="0.2">
      <c r="A1" s="1" t="s">
        <v>64</v>
      </c>
      <c r="B1" s="47">
        <v>594386</v>
      </c>
      <c r="C1" s="26">
        <v>1588956</v>
      </c>
      <c r="D1" s="26"/>
      <c r="E1" s="48">
        <v>33513</v>
      </c>
      <c r="F1" s="48">
        <v>33514</v>
      </c>
      <c r="G1" s="48">
        <v>105744</v>
      </c>
      <c r="H1" s="49">
        <v>263686</v>
      </c>
      <c r="I1" s="26">
        <v>263691</v>
      </c>
      <c r="J1" s="48">
        <v>263754</v>
      </c>
      <c r="K1" s="48">
        <v>539243</v>
      </c>
      <c r="L1" s="26">
        <v>539246</v>
      </c>
      <c r="M1" s="26">
        <v>574126</v>
      </c>
      <c r="N1" s="26">
        <v>637887</v>
      </c>
      <c r="O1" s="26">
        <v>637888</v>
      </c>
      <c r="P1" s="26">
        <v>637889</v>
      </c>
      <c r="Q1" s="26">
        <v>637890</v>
      </c>
      <c r="R1" s="26">
        <v>637892</v>
      </c>
      <c r="S1" s="26">
        <v>647598</v>
      </c>
      <c r="T1" s="26">
        <v>647856</v>
      </c>
      <c r="U1" s="26">
        <v>687022</v>
      </c>
      <c r="V1" s="26">
        <v>687023</v>
      </c>
      <c r="W1" s="26">
        <v>687831</v>
      </c>
      <c r="X1" s="26">
        <v>740818</v>
      </c>
      <c r="Y1" s="26">
        <v>740824</v>
      </c>
      <c r="Z1" s="26">
        <v>740838</v>
      </c>
      <c r="AA1" s="26">
        <v>740876</v>
      </c>
      <c r="AB1" s="26">
        <v>740882</v>
      </c>
      <c r="AC1" s="50">
        <v>741089</v>
      </c>
      <c r="AD1" s="50">
        <v>742815</v>
      </c>
      <c r="AE1" s="26">
        <v>742950</v>
      </c>
      <c r="AF1" s="50">
        <v>749325</v>
      </c>
      <c r="AG1" s="51">
        <v>749330</v>
      </c>
      <c r="AH1" s="50">
        <v>749334</v>
      </c>
      <c r="AI1" s="52">
        <v>749339</v>
      </c>
      <c r="AJ1" s="53">
        <v>762803</v>
      </c>
      <c r="AK1" s="54">
        <v>765933</v>
      </c>
      <c r="AL1" s="53">
        <v>868849</v>
      </c>
      <c r="AM1" s="53">
        <v>869044</v>
      </c>
      <c r="AN1" s="53">
        <v>869127</v>
      </c>
      <c r="AO1" s="53">
        <v>869308</v>
      </c>
      <c r="AP1" s="53">
        <v>869309</v>
      </c>
      <c r="AQ1" s="53">
        <v>869446</v>
      </c>
      <c r="AR1" s="53">
        <v>888353</v>
      </c>
      <c r="AS1" s="53">
        <v>888354</v>
      </c>
      <c r="AT1" s="53">
        <v>888355</v>
      </c>
      <c r="AU1" s="48">
        <v>1060882</v>
      </c>
      <c r="AV1" s="26">
        <v>1064052</v>
      </c>
      <c r="AW1" s="7" t="s">
        <v>2</v>
      </c>
      <c r="AX1" s="44">
        <v>672937</v>
      </c>
      <c r="AY1" s="7">
        <v>1342205</v>
      </c>
      <c r="AZ1" s="7">
        <v>3452105</v>
      </c>
      <c r="BA1" s="7">
        <v>9224993</v>
      </c>
      <c r="BB1" s="7">
        <v>10471</v>
      </c>
      <c r="BC1" s="1">
        <v>10511133</v>
      </c>
      <c r="BD1" s="1"/>
    </row>
    <row r="2" spans="1:56" ht="51" x14ac:dyDescent="0.2">
      <c r="A2" s="99">
        <v>2017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/>
    </row>
    <row r="3" spans="1:56" x14ac:dyDescent="0.2">
      <c r="A3" s="26" t="s">
        <v>59</v>
      </c>
      <c r="C3">
        <v>82</v>
      </c>
      <c r="E3">
        <v>16</v>
      </c>
      <c r="F3">
        <v>389</v>
      </c>
      <c r="H3">
        <v>509</v>
      </c>
      <c r="I3">
        <v>1104</v>
      </c>
      <c r="K3">
        <v>106</v>
      </c>
      <c r="L3">
        <v>8</v>
      </c>
      <c r="M3">
        <v>322</v>
      </c>
      <c r="N3">
        <v>52</v>
      </c>
      <c r="O3">
        <v>189</v>
      </c>
      <c r="P3">
        <v>163</v>
      </c>
      <c r="Q3">
        <v>304</v>
      </c>
      <c r="R3">
        <v>131</v>
      </c>
      <c r="S3">
        <v>576</v>
      </c>
      <c r="U3">
        <v>6</v>
      </c>
      <c r="V3">
        <v>215</v>
      </c>
      <c r="W3">
        <v>6</v>
      </c>
      <c r="X3">
        <v>0</v>
      </c>
      <c r="Y3">
        <v>1463</v>
      </c>
      <c r="Z3">
        <v>262</v>
      </c>
      <c r="AA3">
        <v>3919</v>
      </c>
      <c r="AB3">
        <v>1879</v>
      </c>
      <c r="AC3">
        <v>0</v>
      </c>
      <c r="AD3">
        <v>0</v>
      </c>
      <c r="AE3">
        <v>185</v>
      </c>
      <c r="AF3">
        <v>0</v>
      </c>
      <c r="AG3">
        <v>0</v>
      </c>
      <c r="AH3">
        <v>0</v>
      </c>
      <c r="AJ3">
        <v>786</v>
      </c>
      <c r="AL3">
        <v>997</v>
      </c>
      <c r="AM3">
        <v>441</v>
      </c>
      <c r="AN3">
        <v>577</v>
      </c>
      <c r="AO3">
        <v>0</v>
      </c>
      <c r="AP3">
        <v>0</v>
      </c>
      <c r="AQ3">
        <v>348</v>
      </c>
      <c r="AR3">
        <v>0</v>
      </c>
      <c r="AS3">
        <v>237</v>
      </c>
      <c r="AT3">
        <v>0</v>
      </c>
      <c r="AV3">
        <v>1</v>
      </c>
      <c r="AW3">
        <v>195</v>
      </c>
      <c r="AX3">
        <v>2851</v>
      </c>
      <c r="AY3">
        <v>387</v>
      </c>
      <c r="AZ3">
        <v>0</v>
      </c>
      <c r="BA3">
        <v>1049</v>
      </c>
      <c r="BB3">
        <v>122</v>
      </c>
      <c r="BC3">
        <v>27</v>
      </c>
    </row>
    <row r="4" spans="1:56" x14ac:dyDescent="0.2">
      <c r="A4" s="25" t="s">
        <v>42</v>
      </c>
      <c r="C4">
        <v>83</v>
      </c>
      <c r="E4">
        <v>14</v>
      </c>
      <c r="F4">
        <v>268</v>
      </c>
      <c r="H4">
        <v>367</v>
      </c>
      <c r="I4">
        <v>671</v>
      </c>
      <c r="K4">
        <v>78</v>
      </c>
      <c r="L4">
        <v>8</v>
      </c>
      <c r="M4">
        <v>143</v>
      </c>
      <c r="N4">
        <v>10</v>
      </c>
      <c r="O4">
        <v>119</v>
      </c>
      <c r="P4">
        <v>87</v>
      </c>
      <c r="Q4">
        <v>215</v>
      </c>
      <c r="R4">
        <v>101</v>
      </c>
      <c r="S4">
        <v>443</v>
      </c>
      <c r="U4">
        <v>5</v>
      </c>
      <c r="V4">
        <v>190</v>
      </c>
      <c r="W4">
        <v>4</v>
      </c>
      <c r="X4">
        <v>0</v>
      </c>
      <c r="Y4">
        <v>809</v>
      </c>
      <c r="Z4">
        <v>129</v>
      </c>
      <c r="AA4">
        <v>2905</v>
      </c>
      <c r="AB4">
        <v>1380</v>
      </c>
      <c r="AC4">
        <v>0</v>
      </c>
      <c r="AD4">
        <v>0</v>
      </c>
      <c r="AE4">
        <v>118</v>
      </c>
      <c r="AF4">
        <v>0</v>
      </c>
      <c r="AG4">
        <v>0</v>
      </c>
      <c r="AH4">
        <v>0</v>
      </c>
      <c r="AJ4">
        <v>0</v>
      </c>
      <c r="AL4">
        <v>903</v>
      </c>
      <c r="AM4">
        <v>362</v>
      </c>
      <c r="AN4">
        <v>325</v>
      </c>
      <c r="AO4">
        <v>0</v>
      </c>
      <c r="AP4">
        <v>0</v>
      </c>
      <c r="AQ4">
        <v>242</v>
      </c>
      <c r="AR4">
        <v>0</v>
      </c>
      <c r="AS4">
        <v>154</v>
      </c>
      <c r="AT4">
        <v>0</v>
      </c>
      <c r="AV4">
        <v>2</v>
      </c>
      <c r="AW4">
        <v>133</v>
      </c>
      <c r="AX4">
        <v>0</v>
      </c>
      <c r="AY4">
        <v>202</v>
      </c>
      <c r="AZ4">
        <v>0</v>
      </c>
      <c r="BA4">
        <v>803</v>
      </c>
      <c r="BB4">
        <v>81</v>
      </c>
      <c r="BC4">
        <v>101</v>
      </c>
    </row>
    <row r="5" spans="1:56" x14ac:dyDescent="0.2">
      <c r="A5" s="25" t="s">
        <v>43</v>
      </c>
      <c r="C5">
        <v>51</v>
      </c>
      <c r="E5">
        <v>9</v>
      </c>
      <c r="F5">
        <v>95</v>
      </c>
      <c r="H5">
        <v>118</v>
      </c>
      <c r="I5">
        <v>427</v>
      </c>
      <c r="K5">
        <v>67</v>
      </c>
      <c r="L5">
        <v>8</v>
      </c>
      <c r="M5">
        <v>123</v>
      </c>
      <c r="N5">
        <v>10</v>
      </c>
      <c r="O5">
        <v>101</v>
      </c>
      <c r="P5">
        <v>65</v>
      </c>
      <c r="Q5">
        <v>214</v>
      </c>
      <c r="R5">
        <v>117</v>
      </c>
      <c r="S5">
        <v>399</v>
      </c>
      <c r="U5">
        <v>3</v>
      </c>
      <c r="V5">
        <v>98</v>
      </c>
      <c r="W5">
        <v>4</v>
      </c>
      <c r="X5">
        <v>0</v>
      </c>
      <c r="Y5">
        <v>532</v>
      </c>
      <c r="Z5">
        <v>78</v>
      </c>
      <c r="AA5">
        <v>2510</v>
      </c>
      <c r="AB5">
        <v>1415</v>
      </c>
      <c r="AC5">
        <v>0</v>
      </c>
      <c r="AD5">
        <v>0</v>
      </c>
      <c r="AE5">
        <v>94</v>
      </c>
      <c r="AF5">
        <v>0</v>
      </c>
      <c r="AG5">
        <v>0</v>
      </c>
      <c r="AH5">
        <v>0</v>
      </c>
      <c r="AJ5">
        <v>0</v>
      </c>
      <c r="AL5">
        <v>744</v>
      </c>
      <c r="AM5">
        <v>121</v>
      </c>
      <c r="AN5">
        <v>262</v>
      </c>
      <c r="AO5">
        <v>0</v>
      </c>
      <c r="AP5">
        <v>0</v>
      </c>
      <c r="AQ5">
        <v>224</v>
      </c>
      <c r="AR5">
        <v>0</v>
      </c>
      <c r="AS5">
        <v>144</v>
      </c>
      <c r="AT5">
        <v>0</v>
      </c>
      <c r="AV5">
        <v>2</v>
      </c>
      <c r="AW5">
        <v>94</v>
      </c>
      <c r="AX5">
        <v>0</v>
      </c>
      <c r="AY5">
        <v>198</v>
      </c>
      <c r="AZ5">
        <v>0</v>
      </c>
      <c r="BA5">
        <v>19</v>
      </c>
      <c r="BB5">
        <v>71</v>
      </c>
      <c r="BC5">
        <v>20</v>
      </c>
    </row>
    <row r="6" spans="1:56" x14ac:dyDescent="0.2">
      <c r="A6" s="25" t="s">
        <v>44</v>
      </c>
      <c r="C6">
        <v>8</v>
      </c>
      <c r="E6">
        <v>8</v>
      </c>
      <c r="F6">
        <v>0</v>
      </c>
      <c r="H6">
        <v>56</v>
      </c>
      <c r="I6">
        <v>18</v>
      </c>
      <c r="K6">
        <v>12</v>
      </c>
      <c r="L6">
        <v>9</v>
      </c>
      <c r="M6">
        <v>7</v>
      </c>
      <c r="N6">
        <v>0</v>
      </c>
      <c r="O6">
        <v>4</v>
      </c>
      <c r="P6">
        <v>51</v>
      </c>
      <c r="Q6">
        <v>15</v>
      </c>
      <c r="R6">
        <v>3</v>
      </c>
      <c r="S6">
        <v>216</v>
      </c>
      <c r="U6">
        <v>4</v>
      </c>
      <c r="V6">
        <v>17</v>
      </c>
      <c r="W6">
        <v>4</v>
      </c>
      <c r="X6">
        <v>0</v>
      </c>
      <c r="Y6">
        <v>68</v>
      </c>
      <c r="Z6">
        <v>3</v>
      </c>
      <c r="AA6">
        <v>1338</v>
      </c>
      <c r="AB6">
        <v>1207</v>
      </c>
      <c r="AC6">
        <v>0</v>
      </c>
      <c r="AD6">
        <v>0</v>
      </c>
      <c r="AE6">
        <v>43</v>
      </c>
      <c r="AF6">
        <v>0</v>
      </c>
      <c r="AG6">
        <v>0</v>
      </c>
      <c r="AH6">
        <v>0</v>
      </c>
      <c r="AJ6">
        <v>0</v>
      </c>
      <c r="AL6">
        <v>475</v>
      </c>
      <c r="AM6">
        <v>6</v>
      </c>
      <c r="AN6">
        <v>118</v>
      </c>
      <c r="AO6">
        <v>0</v>
      </c>
      <c r="AP6">
        <v>0</v>
      </c>
      <c r="AQ6">
        <v>111</v>
      </c>
      <c r="AR6">
        <v>0</v>
      </c>
      <c r="AS6">
        <v>3</v>
      </c>
      <c r="AT6">
        <v>0</v>
      </c>
      <c r="AV6">
        <v>0</v>
      </c>
      <c r="AW6">
        <v>12</v>
      </c>
      <c r="AX6">
        <v>0</v>
      </c>
      <c r="AY6">
        <v>37</v>
      </c>
      <c r="AZ6">
        <v>0</v>
      </c>
      <c r="BA6">
        <v>0</v>
      </c>
      <c r="BB6">
        <v>13</v>
      </c>
      <c r="BC6">
        <v>0</v>
      </c>
    </row>
    <row r="7" spans="1:56" x14ac:dyDescent="0.2">
      <c r="A7" s="25" t="s">
        <v>45</v>
      </c>
      <c r="C7">
        <v>7</v>
      </c>
      <c r="E7">
        <v>5</v>
      </c>
      <c r="F7">
        <v>0</v>
      </c>
      <c r="H7">
        <v>10</v>
      </c>
      <c r="I7">
        <v>62</v>
      </c>
      <c r="K7">
        <v>2</v>
      </c>
      <c r="L7">
        <v>8</v>
      </c>
      <c r="M7">
        <v>8</v>
      </c>
      <c r="N7">
        <v>0</v>
      </c>
      <c r="O7">
        <v>4</v>
      </c>
      <c r="P7">
        <v>14</v>
      </c>
      <c r="Q7">
        <v>7</v>
      </c>
      <c r="R7">
        <v>4</v>
      </c>
      <c r="S7">
        <v>1</v>
      </c>
      <c r="U7">
        <v>3</v>
      </c>
      <c r="V7">
        <v>5</v>
      </c>
      <c r="W7">
        <v>3</v>
      </c>
      <c r="X7">
        <v>0</v>
      </c>
      <c r="Y7">
        <v>52</v>
      </c>
      <c r="Z7">
        <v>0</v>
      </c>
      <c r="AA7">
        <v>970</v>
      </c>
      <c r="AB7">
        <v>848</v>
      </c>
      <c r="AC7">
        <v>0</v>
      </c>
      <c r="AD7">
        <v>0</v>
      </c>
      <c r="AE7">
        <v>29</v>
      </c>
      <c r="AF7">
        <v>0</v>
      </c>
      <c r="AG7">
        <v>0</v>
      </c>
      <c r="AH7">
        <v>0</v>
      </c>
      <c r="AJ7">
        <v>0</v>
      </c>
      <c r="AL7">
        <v>346</v>
      </c>
      <c r="AM7">
        <v>4</v>
      </c>
      <c r="AN7">
        <v>46</v>
      </c>
      <c r="AO7">
        <v>0</v>
      </c>
      <c r="AP7">
        <v>0</v>
      </c>
      <c r="AQ7">
        <v>104</v>
      </c>
      <c r="AR7">
        <v>0</v>
      </c>
      <c r="AS7">
        <v>10</v>
      </c>
      <c r="AT7">
        <v>0</v>
      </c>
      <c r="AV7">
        <v>0</v>
      </c>
      <c r="AW7">
        <v>72</v>
      </c>
      <c r="AX7">
        <v>0</v>
      </c>
      <c r="AY7">
        <v>20</v>
      </c>
      <c r="AZ7">
        <v>0</v>
      </c>
      <c r="BA7">
        <v>4</v>
      </c>
      <c r="BB7">
        <v>12</v>
      </c>
      <c r="BC7">
        <v>48</v>
      </c>
    </row>
    <row r="8" spans="1:56" x14ac:dyDescent="0.2">
      <c r="A8" s="25" t="s">
        <v>46</v>
      </c>
      <c r="C8">
        <v>9</v>
      </c>
      <c r="E8">
        <v>7</v>
      </c>
      <c r="F8">
        <v>0</v>
      </c>
      <c r="H8">
        <v>10</v>
      </c>
      <c r="I8">
        <v>0</v>
      </c>
      <c r="K8">
        <v>0</v>
      </c>
      <c r="L8">
        <v>8</v>
      </c>
      <c r="M8">
        <v>6</v>
      </c>
      <c r="N8">
        <v>0</v>
      </c>
      <c r="O8">
        <v>0</v>
      </c>
      <c r="P8">
        <v>9</v>
      </c>
      <c r="Q8">
        <v>0</v>
      </c>
      <c r="R8">
        <v>3</v>
      </c>
      <c r="S8">
        <v>0</v>
      </c>
      <c r="U8">
        <v>4</v>
      </c>
      <c r="V8">
        <v>5</v>
      </c>
      <c r="W8">
        <v>3</v>
      </c>
      <c r="X8">
        <v>0</v>
      </c>
      <c r="Y8">
        <v>24</v>
      </c>
      <c r="Z8">
        <v>1</v>
      </c>
      <c r="AA8">
        <v>206</v>
      </c>
      <c r="AB8">
        <v>1122</v>
      </c>
      <c r="AC8">
        <v>0</v>
      </c>
      <c r="AD8">
        <v>0</v>
      </c>
      <c r="AE8">
        <v>25</v>
      </c>
      <c r="AF8">
        <v>1</v>
      </c>
      <c r="AG8">
        <v>0</v>
      </c>
      <c r="AH8">
        <v>0</v>
      </c>
      <c r="AJ8">
        <v>0</v>
      </c>
      <c r="AL8">
        <v>315</v>
      </c>
      <c r="AM8">
        <v>0</v>
      </c>
      <c r="AN8">
        <v>4</v>
      </c>
      <c r="AO8">
        <v>4</v>
      </c>
      <c r="AP8">
        <v>1</v>
      </c>
      <c r="AQ8">
        <v>60</v>
      </c>
      <c r="AR8">
        <v>0</v>
      </c>
      <c r="AS8">
        <v>0</v>
      </c>
      <c r="AT8">
        <v>0</v>
      </c>
      <c r="AV8">
        <v>0</v>
      </c>
      <c r="AW8">
        <v>5</v>
      </c>
      <c r="AX8">
        <v>0</v>
      </c>
      <c r="AY8">
        <v>0</v>
      </c>
      <c r="AZ8">
        <v>0</v>
      </c>
      <c r="BA8">
        <v>0</v>
      </c>
      <c r="BB8">
        <v>5</v>
      </c>
      <c r="BC8">
        <v>20</v>
      </c>
    </row>
    <row r="9" spans="1:56" x14ac:dyDescent="0.2">
      <c r="A9" s="25" t="s">
        <v>47</v>
      </c>
      <c r="C9">
        <v>7</v>
      </c>
      <c r="E9">
        <v>4</v>
      </c>
      <c r="F9">
        <v>0</v>
      </c>
      <c r="H9">
        <v>10</v>
      </c>
      <c r="I9">
        <v>0</v>
      </c>
      <c r="K9">
        <v>0</v>
      </c>
      <c r="L9">
        <v>6</v>
      </c>
      <c r="M9">
        <v>8</v>
      </c>
      <c r="N9">
        <v>1</v>
      </c>
      <c r="O9">
        <v>1</v>
      </c>
      <c r="P9">
        <v>8</v>
      </c>
      <c r="Q9">
        <v>0</v>
      </c>
      <c r="R9">
        <v>4</v>
      </c>
      <c r="S9">
        <v>0</v>
      </c>
      <c r="U9">
        <v>3</v>
      </c>
      <c r="V9">
        <v>5</v>
      </c>
      <c r="W9">
        <v>2</v>
      </c>
      <c r="X9">
        <v>0</v>
      </c>
      <c r="Y9">
        <v>24</v>
      </c>
      <c r="Z9">
        <v>0</v>
      </c>
      <c r="AA9">
        <v>198</v>
      </c>
      <c r="AB9">
        <v>1068</v>
      </c>
      <c r="AC9">
        <v>2</v>
      </c>
      <c r="AD9">
        <v>23</v>
      </c>
      <c r="AE9">
        <v>12</v>
      </c>
      <c r="AF9">
        <v>0</v>
      </c>
      <c r="AG9">
        <v>0</v>
      </c>
      <c r="AH9">
        <v>0</v>
      </c>
      <c r="AJ9">
        <v>0</v>
      </c>
      <c r="AL9">
        <v>302</v>
      </c>
      <c r="AM9">
        <v>6</v>
      </c>
      <c r="AN9">
        <v>7</v>
      </c>
      <c r="AO9">
        <v>0</v>
      </c>
      <c r="AP9">
        <v>0</v>
      </c>
      <c r="AQ9">
        <v>22</v>
      </c>
      <c r="AR9">
        <v>13</v>
      </c>
      <c r="AS9">
        <v>0</v>
      </c>
      <c r="AT9">
        <v>0</v>
      </c>
      <c r="AV9">
        <v>0</v>
      </c>
      <c r="AW9">
        <v>1</v>
      </c>
      <c r="AX9">
        <v>14</v>
      </c>
      <c r="AY9">
        <v>0</v>
      </c>
      <c r="AZ9">
        <v>0</v>
      </c>
      <c r="BA9">
        <v>0</v>
      </c>
      <c r="BB9">
        <v>7</v>
      </c>
      <c r="BC9">
        <v>0</v>
      </c>
    </row>
    <row r="10" spans="1:56" x14ac:dyDescent="0.2">
      <c r="A10" s="25" t="s">
        <v>48</v>
      </c>
      <c r="C10">
        <v>7</v>
      </c>
      <c r="E10">
        <v>5</v>
      </c>
      <c r="F10">
        <v>0</v>
      </c>
      <c r="H10">
        <v>9</v>
      </c>
      <c r="I10">
        <v>0</v>
      </c>
      <c r="K10">
        <v>0</v>
      </c>
      <c r="L10">
        <v>6</v>
      </c>
      <c r="M10">
        <v>7</v>
      </c>
      <c r="N10">
        <v>0</v>
      </c>
      <c r="O10">
        <v>0</v>
      </c>
      <c r="P10">
        <v>7</v>
      </c>
      <c r="Q10">
        <v>0</v>
      </c>
      <c r="R10">
        <v>3</v>
      </c>
      <c r="S10">
        <v>82</v>
      </c>
      <c r="U10">
        <v>3</v>
      </c>
      <c r="V10">
        <v>4</v>
      </c>
      <c r="W10">
        <v>2</v>
      </c>
      <c r="X10">
        <v>0</v>
      </c>
      <c r="Y10">
        <v>21</v>
      </c>
      <c r="Z10">
        <v>0</v>
      </c>
      <c r="AA10">
        <v>190</v>
      </c>
      <c r="AB10">
        <v>984</v>
      </c>
      <c r="AC10">
        <v>10</v>
      </c>
      <c r="AD10">
        <v>23</v>
      </c>
      <c r="AE10">
        <v>21</v>
      </c>
      <c r="AF10">
        <v>295</v>
      </c>
      <c r="AG10">
        <v>20</v>
      </c>
      <c r="AH10">
        <v>8</v>
      </c>
      <c r="AJ10">
        <v>0</v>
      </c>
      <c r="AL10">
        <v>7893</v>
      </c>
      <c r="AM10">
        <v>46750</v>
      </c>
      <c r="AN10">
        <v>5059</v>
      </c>
      <c r="AO10">
        <v>12687</v>
      </c>
      <c r="AP10">
        <v>56</v>
      </c>
      <c r="AQ10">
        <v>54</v>
      </c>
      <c r="AR10">
        <v>20</v>
      </c>
      <c r="AS10">
        <v>0</v>
      </c>
      <c r="AT10">
        <v>36</v>
      </c>
      <c r="AV10">
        <v>2</v>
      </c>
      <c r="AW10">
        <v>24</v>
      </c>
      <c r="AX10">
        <v>2373</v>
      </c>
      <c r="AY10">
        <v>0</v>
      </c>
      <c r="AZ10">
        <v>0</v>
      </c>
      <c r="BA10">
        <v>8</v>
      </c>
      <c r="BB10">
        <v>6</v>
      </c>
      <c r="BC10">
        <v>219</v>
      </c>
    </row>
    <row r="11" spans="1:56" x14ac:dyDescent="0.2">
      <c r="A11" s="25" t="s">
        <v>49</v>
      </c>
      <c r="C11">
        <v>24</v>
      </c>
      <c r="E11">
        <v>7</v>
      </c>
      <c r="F11">
        <v>0</v>
      </c>
      <c r="H11">
        <v>10</v>
      </c>
      <c r="I11">
        <v>0</v>
      </c>
      <c r="K11">
        <v>0</v>
      </c>
      <c r="L11">
        <v>5</v>
      </c>
      <c r="M11">
        <v>6</v>
      </c>
      <c r="N11">
        <v>0</v>
      </c>
      <c r="O11">
        <v>0</v>
      </c>
      <c r="P11">
        <v>7</v>
      </c>
      <c r="Q11">
        <v>2</v>
      </c>
      <c r="R11">
        <v>4</v>
      </c>
      <c r="S11">
        <v>431</v>
      </c>
      <c r="U11">
        <v>7</v>
      </c>
      <c r="V11">
        <v>5</v>
      </c>
      <c r="W11">
        <v>3</v>
      </c>
      <c r="X11">
        <v>0</v>
      </c>
      <c r="Y11">
        <v>25</v>
      </c>
      <c r="Z11">
        <v>1</v>
      </c>
      <c r="AA11">
        <v>224</v>
      </c>
      <c r="AB11">
        <v>1504</v>
      </c>
      <c r="AC11">
        <v>38456</v>
      </c>
      <c r="AD11">
        <v>234</v>
      </c>
      <c r="AE11">
        <v>27</v>
      </c>
      <c r="AF11">
        <v>36645</v>
      </c>
      <c r="AG11">
        <v>26471</v>
      </c>
      <c r="AH11">
        <v>64273</v>
      </c>
      <c r="AJ11">
        <v>4</v>
      </c>
      <c r="AL11">
        <v>20417</v>
      </c>
      <c r="AM11">
        <v>92306</v>
      </c>
      <c r="AN11">
        <v>46039</v>
      </c>
      <c r="AO11">
        <v>62839</v>
      </c>
      <c r="AP11">
        <v>51303</v>
      </c>
      <c r="AQ11">
        <v>25362</v>
      </c>
      <c r="AR11">
        <v>33955</v>
      </c>
      <c r="AS11">
        <v>32724</v>
      </c>
      <c r="AT11">
        <v>17085</v>
      </c>
      <c r="AV11">
        <v>6</v>
      </c>
      <c r="AW11">
        <v>3</v>
      </c>
      <c r="AX11">
        <v>29125</v>
      </c>
      <c r="AY11">
        <v>0</v>
      </c>
      <c r="AZ11">
        <v>0</v>
      </c>
      <c r="BA11">
        <v>102868</v>
      </c>
      <c r="BB11">
        <v>8</v>
      </c>
      <c r="BC11">
        <v>0</v>
      </c>
    </row>
    <row r="12" spans="1:56" x14ac:dyDescent="0.2">
      <c r="A12" s="25" t="s">
        <v>50</v>
      </c>
      <c r="C12">
        <v>18</v>
      </c>
      <c r="E12">
        <v>8</v>
      </c>
      <c r="F12">
        <v>1</v>
      </c>
      <c r="H12">
        <v>9</v>
      </c>
      <c r="I12">
        <v>0</v>
      </c>
      <c r="K12">
        <v>17</v>
      </c>
      <c r="L12">
        <v>7</v>
      </c>
      <c r="M12">
        <v>15</v>
      </c>
      <c r="N12">
        <v>0</v>
      </c>
      <c r="O12">
        <v>33</v>
      </c>
      <c r="P12">
        <v>8</v>
      </c>
      <c r="Q12">
        <v>58</v>
      </c>
      <c r="R12">
        <v>34</v>
      </c>
      <c r="S12">
        <v>388</v>
      </c>
      <c r="U12">
        <v>2</v>
      </c>
      <c r="V12">
        <v>26</v>
      </c>
      <c r="W12">
        <v>2</v>
      </c>
      <c r="X12">
        <v>0</v>
      </c>
      <c r="Y12">
        <v>339</v>
      </c>
      <c r="Z12">
        <v>10</v>
      </c>
      <c r="AA12">
        <v>950</v>
      </c>
      <c r="AB12">
        <v>857</v>
      </c>
      <c r="AC12">
        <v>8307</v>
      </c>
      <c r="AD12">
        <v>0</v>
      </c>
      <c r="AE12">
        <v>56</v>
      </c>
      <c r="AF12">
        <v>18096</v>
      </c>
      <c r="AG12">
        <v>41786</v>
      </c>
      <c r="AH12">
        <v>44363</v>
      </c>
      <c r="AJ12">
        <v>7221</v>
      </c>
      <c r="AL12">
        <v>5227</v>
      </c>
      <c r="AM12">
        <v>6883</v>
      </c>
      <c r="AN12">
        <v>32326</v>
      </c>
      <c r="AO12">
        <v>13227</v>
      </c>
      <c r="AP12">
        <v>83192</v>
      </c>
      <c r="AQ12">
        <v>33928</v>
      </c>
      <c r="AR12">
        <v>23107</v>
      </c>
      <c r="AS12">
        <v>4223</v>
      </c>
      <c r="AT12">
        <v>46301</v>
      </c>
      <c r="AV12">
        <v>3</v>
      </c>
      <c r="AW12">
        <v>1</v>
      </c>
      <c r="AX12">
        <v>4201</v>
      </c>
      <c r="AY12">
        <v>57</v>
      </c>
      <c r="AZ12">
        <v>0</v>
      </c>
      <c r="BA12">
        <v>63454</v>
      </c>
      <c r="BB12">
        <v>7</v>
      </c>
      <c r="BC12">
        <v>0</v>
      </c>
    </row>
    <row r="13" spans="1:56" x14ac:dyDescent="0.2">
      <c r="A13" s="25" t="s">
        <v>51</v>
      </c>
      <c r="C13">
        <v>7</v>
      </c>
      <c r="E13">
        <v>9</v>
      </c>
      <c r="F13">
        <v>266</v>
      </c>
      <c r="H13">
        <v>118</v>
      </c>
      <c r="I13">
        <v>368</v>
      </c>
      <c r="K13">
        <v>83</v>
      </c>
      <c r="L13">
        <v>7</v>
      </c>
      <c r="M13">
        <v>84</v>
      </c>
      <c r="N13">
        <v>1</v>
      </c>
      <c r="O13">
        <v>56</v>
      </c>
      <c r="P13">
        <v>12</v>
      </c>
      <c r="Q13">
        <v>106</v>
      </c>
      <c r="R13">
        <v>182</v>
      </c>
      <c r="S13">
        <v>357</v>
      </c>
      <c r="U13">
        <v>2</v>
      </c>
      <c r="V13">
        <v>0</v>
      </c>
      <c r="W13">
        <v>4</v>
      </c>
      <c r="X13">
        <v>0</v>
      </c>
      <c r="Y13">
        <v>847</v>
      </c>
      <c r="Z13">
        <v>102</v>
      </c>
      <c r="AA13">
        <v>2162</v>
      </c>
      <c r="AB13">
        <v>1523</v>
      </c>
      <c r="AC13">
        <v>2</v>
      </c>
      <c r="AD13">
        <v>0</v>
      </c>
      <c r="AE13">
        <v>115</v>
      </c>
      <c r="AF13">
        <v>0</v>
      </c>
      <c r="AG13">
        <v>6187</v>
      </c>
      <c r="AH13">
        <v>0</v>
      </c>
      <c r="AJ13">
        <v>18367</v>
      </c>
      <c r="AL13">
        <v>2118</v>
      </c>
      <c r="AM13">
        <v>1984</v>
      </c>
      <c r="AN13">
        <v>9724</v>
      </c>
      <c r="AO13">
        <v>22</v>
      </c>
      <c r="AP13">
        <v>6101</v>
      </c>
      <c r="AQ13">
        <v>710</v>
      </c>
      <c r="AR13">
        <v>0</v>
      </c>
      <c r="AS13">
        <v>141</v>
      </c>
      <c r="AT13">
        <v>4391</v>
      </c>
      <c r="AV13">
        <v>2</v>
      </c>
      <c r="AW13">
        <v>17</v>
      </c>
      <c r="AX13">
        <v>163</v>
      </c>
      <c r="AY13">
        <v>202</v>
      </c>
      <c r="AZ13">
        <v>0</v>
      </c>
      <c r="BA13">
        <v>1146</v>
      </c>
      <c r="BB13">
        <v>57</v>
      </c>
      <c r="BC13">
        <v>0</v>
      </c>
    </row>
    <row r="14" spans="1:56" x14ac:dyDescent="0.2">
      <c r="A14" s="25" t="s">
        <v>52</v>
      </c>
      <c r="C14">
        <v>92</v>
      </c>
      <c r="E14">
        <v>18</v>
      </c>
      <c r="F14">
        <v>454</v>
      </c>
      <c r="H14">
        <v>217</v>
      </c>
      <c r="I14">
        <v>888</v>
      </c>
      <c r="K14">
        <v>171</v>
      </c>
      <c r="L14">
        <v>8</v>
      </c>
      <c r="M14">
        <v>469</v>
      </c>
      <c r="N14">
        <v>74</v>
      </c>
      <c r="O14">
        <v>241</v>
      </c>
      <c r="P14">
        <v>84</v>
      </c>
      <c r="Q14">
        <v>605</v>
      </c>
      <c r="R14">
        <v>168</v>
      </c>
      <c r="S14">
        <v>1040</v>
      </c>
      <c r="U14">
        <v>1</v>
      </c>
      <c r="V14">
        <v>535</v>
      </c>
      <c r="W14">
        <v>5</v>
      </c>
      <c r="Y14">
        <v>2149</v>
      </c>
      <c r="Z14">
        <v>482</v>
      </c>
      <c r="AA14">
        <v>5458</v>
      </c>
      <c r="AB14">
        <v>2589</v>
      </c>
      <c r="AC14">
        <v>0</v>
      </c>
      <c r="AD14">
        <v>0</v>
      </c>
      <c r="AE14">
        <v>256</v>
      </c>
      <c r="AF14">
        <v>0</v>
      </c>
      <c r="AG14">
        <v>1790</v>
      </c>
      <c r="AH14">
        <v>0</v>
      </c>
      <c r="AJ14">
        <v>856</v>
      </c>
      <c r="AL14">
        <v>1131</v>
      </c>
      <c r="AM14">
        <v>1266</v>
      </c>
      <c r="AN14">
        <v>706</v>
      </c>
      <c r="AO14">
        <v>0</v>
      </c>
      <c r="AP14">
        <v>138</v>
      </c>
      <c r="AQ14">
        <v>389</v>
      </c>
      <c r="AR14">
        <v>0</v>
      </c>
      <c r="AS14">
        <v>263</v>
      </c>
      <c r="AT14">
        <v>0</v>
      </c>
      <c r="AV14">
        <v>2</v>
      </c>
      <c r="AW14">
        <v>116</v>
      </c>
      <c r="AX14">
        <v>0</v>
      </c>
      <c r="AY14">
        <v>605</v>
      </c>
      <c r="AZ14">
        <v>0</v>
      </c>
      <c r="BA14">
        <v>9</v>
      </c>
      <c r="BB14">
        <v>122</v>
      </c>
      <c r="BC14">
        <v>0</v>
      </c>
    </row>
    <row r="15" spans="1:56" ht="13.5" thickBot="1" x14ac:dyDescent="0.25">
      <c r="A15" s="92" t="s">
        <v>58</v>
      </c>
      <c r="B15" s="93">
        <f>SUM(B3:B14)/10</f>
        <v>0</v>
      </c>
      <c r="C15" s="93">
        <f>SUM(B20:B31)/10</f>
        <v>0</v>
      </c>
      <c r="D15" s="93"/>
      <c r="E15" s="94">
        <f>SUM(E3:E14)/10</f>
        <v>11</v>
      </c>
      <c r="F15" s="94">
        <v>0</v>
      </c>
      <c r="G15" s="95">
        <f>SUM(G3:G14)/10</f>
        <v>0</v>
      </c>
      <c r="H15" s="94">
        <f>SUM(H3:H14)/10</f>
        <v>144.30000000000001</v>
      </c>
      <c r="I15" s="94">
        <v>0</v>
      </c>
      <c r="J15" s="94"/>
      <c r="K15" s="94">
        <f t="shared" ref="K15:S15" si="0">SUM(K3:K14)/10</f>
        <v>53.6</v>
      </c>
      <c r="L15" s="94">
        <f t="shared" si="0"/>
        <v>8.8000000000000007</v>
      </c>
      <c r="M15" s="94">
        <f t="shared" si="0"/>
        <v>119.8</v>
      </c>
      <c r="N15" s="94">
        <f t="shared" si="0"/>
        <v>14.8</v>
      </c>
      <c r="O15" s="94">
        <f t="shared" si="0"/>
        <v>74.8</v>
      </c>
      <c r="P15" s="94">
        <f t="shared" si="0"/>
        <v>51.5</v>
      </c>
      <c r="Q15" s="94">
        <f t="shared" si="0"/>
        <v>152.6</v>
      </c>
      <c r="R15" s="94">
        <f t="shared" si="0"/>
        <v>75.400000000000006</v>
      </c>
      <c r="S15" s="94">
        <f t="shared" si="0"/>
        <v>393.3</v>
      </c>
      <c r="T15" s="94"/>
      <c r="U15" s="94">
        <f t="shared" ref="U15:AE15" si="1">SUM(U3:U14)/10</f>
        <v>4.3</v>
      </c>
      <c r="V15" s="94">
        <f t="shared" si="1"/>
        <v>110.5</v>
      </c>
      <c r="W15" s="94">
        <f t="shared" si="1"/>
        <v>4.2</v>
      </c>
      <c r="X15" s="94">
        <f t="shared" si="1"/>
        <v>0</v>
      </c>
      <c r="Y15" s="94">
        <f t="shared" si="1"/>
        <v>635.29999999999995</v>
      </c>
      <c r="Z15" s="94">
        <f t="shared" si="1"/>
        <v>106.8</v>
      </c>
      <c r="AA15" s="94">
        <f t="shared" si="1"/>
        <v>2103</v>
      </c>
      <c r="AB15" s="94">
        <f t="shared" si="1"/>
        <v>1637.6</v>
      </c>
      <c r="AC15" s="94">
        <f t="shared" si="1"/>
        <v>4677.7</v>
      </c>
      <c r="AD15" s="94">
        <f t="shared" si="1"/>
        <v>28</v>
      </c>
      <c r="AE15" s="94">
        <f t="shared" si="1"/>
        <v>98.1</v>
      </c>
      <c r="AF15" s="94">
        <f>SUM(AF3:AF14)/10</f>
        <v>5503.7</v>
      </c>
      <c r="AG15" s="94">
        <f>SUM(AG3:AG14)/10</f>
        <v>7625.4</v>
      </c>
      <c r="AH15" s="94">
        <f>SUM(AH3:AH14)/10</f>
        <v>10864.4</v>
      </c>
      <c r="AI15" s="94">
        <f>SUM(AI3:AI14)/10</f>
        <v>0</v>
      </c>
      <c r="AJ15" s="94">
        <f>SUM(AJ3:AJ14)/10</f>
        <v>2723.4</v>
      </c>
      <c r="AK15" s="94"/>
      <c r="AL15" s="94">
        <f t="shared" ref="AL15:BC15" si="2">SUM(AL3:AL14)/10</f>
        <v>4086.8</v>
      </c>
      <c r="AM15" s="94">
        <f t="shared" si="2"/>
        <v>15012.9</v>
      </c>
      <c r="AN15" s="94">
        <f t="shared" si="2"/>
        <v>9519.2999999999993</v>
      </c>
      <c r="AO15" s="94">
        <f t="shared" si="2"/>
        <v>8877.9</v>
      </c>
      <c r="AP15" s="94">
        <f t="shared" si="2"/>
        <v>14079.1</v>
      </c>
      <c r="AQ15" s="94">
        <f t="shared" si="2"/>
        <v>6155.4</v>
      </c>
      <c r="AR15" s="94">
        <f t="shared" si="2"/>
        <v>5709.5</v>
      </c>
      <c r="AS15" s="96">
        <f t="shared" si="2"/>
        <v>3789.9</v>
      </c>
      <c r="AT15" s="94">
        <f t="shared" si="2"/>
        <v>6781.3</v>
      </c>
      <c r="AU15" s="94">
        <f t="shared" si="2"/>
        <v>0</v>
      </c>
      <c r="AV15" s="94">
        <f t="shared" si="2"/>
        <v>2</v>
      </c>
      <c r="AW15" s="94">
        <f t="shared" si="2"/>
        <v>67.3</v>
      </c>
      <c r="AX15" s="94">
        <f t="shared" si="2"/>
        <v>3872.7</v>
      </c>
      <c r="AY15" s="94">
        <f t="shared" si="2"/>
        <v>170.8</v>
      </c>
      <c r="AZ15" s="94">
        <f t="shared" si="2"/>
        <v>0</v>
      </c>
      <c r="BA15" s="94">
        <f t="shared" si="2"/>
        <v>16936</v>
      </c>
      <c r="BB15" s="94">
        <f t="shared" si="2"/>
        <v>51.1</v>
      </c>
      <c r="BC15" s="94">
        <f t="shared" si="2"/>
        <v>43.5</v>
      </c>
      <c r="BD15" s="97">
        <f>SUM(B15:BC15)</f>
        <v>132377.80000000002</v>
      </c>
    </row>
    <row r="16" spans="1:56" ht="13.5" thickTop="1" x14ac:dyDescent="0.2">
      <c r="A16" s="92"/>
      <c r="B16" s="134">
        <f>SUM(B3:B14)</f>
        <v>0</v>
      </c>
      <c r="C16" s="134">
        <f t="shared" ref="C16:AE16" si="3">SUM(C3:C14)</f>
        <v>395</v>
      </c>
      <c r="D16" s="134">
        <f t="shared" si="3"/>
        <v>0</v>
      </c>
      <c r="E16" s="134">
        <f>SUM(E3:E14)</f>
        <v>110</v>
      </c>
      <c r="F16" s="134">
        <f t="shared" si="3"/>
        <v>1473</v>
      </c>
      <c r="G16" s="134">
        <f t="shared" si="3"/>
        <v>0</v>
      </c>
      <c r="H16" s="134">
        <f t="shared" si="3"/>
        <v>1443</v>
      </c>
      <c r="I16" s="134">
        <f t="shared" si="3"/>
        <v>3538</v>
      </c>
      <c r="J16" s="134">
        <f t="shared" si="3"/>
        <v>0</v>
      </c>
      <c r="K16" s="134">
        <f t="shared" si="3"/>
        <v>536</v>
      </c>
      <c r="L16" s="134">
        <f t="shared" si="3"/>
        <v>88</v>
      </c>
      <c r="M16" s="134">
        <f t="shared" si="3"/>
        <v>1198</v>
      </c>
      <c r="N16" s="134">
        <f t="shared" si="3"/>
        <v>148</v>
      </c>
      <c r="O16" s="134">
        <f t="shared" si="3"/>
        <v>748</v>
      </c>
      <c r="P16" s="134">
        <f t="shared" si="3"/>
        <v>515</v>
      </c>
      <c r="Q16" s="134">
        <f t="shared" si="3"/>
        <v>1526</v>
      </c>
      <c r="R16" s="134">
        <f t="shared" si="3"/>
        <v>754</v>
      </c>
      <c r="S16" s="134">
        <f t="shared" si="3"/>
        <v>3933</v>
      </c>
      <c r="T16" s="134">
        <f t="shared" si="3"/>
        <v>0</v>
      </c>
      <c r="U16" s="134">
        <f t="shared" si="3"/>
        <v>43</v>
      </c>
      <c r="V16" s="134">
        <f t="shared" si="3"/>
        <v>1105</v>
      </c>
      <c r="W16" s="134">
        <f t="shared" si="3"/>
        <v>42</v>
      </c>
      <c r="X16" s="134">
        <f t="shared" si="3"/>
        <v>0</v>
      </c>
      <c r="Y16" s="134">
        <f t="shared" si="3"/>
        <v>6353</v>
      </c>
      <c r="Z16" s="134">
        <f t="shared" si="3"/>
        <v>1068</v>
      </c>
      <c r="AA16" s="134">
        <f t="shared" si="3"/>
        <v>21030</v>
      </c>
      <c r="AB16" s="134">
        <f t="shared" si="3"/>
        <v>16376</v>
      </c>
      <c r="AC16" s="134">
        <f t="shared" si="3"/>
        <v>46777</v>
      </c>
      <c r="AD16" s="134">
        <f t="shared" si="3"/>
        <v>280</v>
      </c>
      <c r="AE16" s="134">
        <f t="shared" si="3"/>
        <v>981</v>
      </c>
      <c r="AF16" s="135">
        <f>SUM(AF3:AF14)</f>
        <v>55037</v>
      </c>
      <c r="AG16" s="135">
        <f>SUM(AG3:AG14)</f>
        <v>76254</v>
      </c>
      <c r="AH16" s="135">
        <f t="shared" ref="AH16:BC16" si="4">SUM(AH3:AH14)</f>
        <v>108644</v>
      </c>
      <c r="AI16" s="135">
        <f t="shared" si="4"/>
        <v>0</v>
      </c>
      <c r="AJ16" s="135">
        <f t="shared" si="4"/>
        <v>27234</v>
      </c>
      <c r="AK16" s="135">
        <f t="shared" si="4"/>
        <v>0</v>
      </c>
      <c r="AL16" s="135">
        <f t="shared" si="4"/>
        <v>40868</v>
      </c>
      <c r="AM16" s="135">
        <f t="shared" si="4"/>
        <v>150129</v>
      </c>
      <c r="AN16" s="135">
        <f t="shared" si="4"/>
        <v>95193</v>
      </c>
      <c r="AO16" s="135">
        <f t="shared" si="4"/>
        <v>88779</v>
      </c>
      <c r="AP16" s="135">
        <f t="shared" si="4"/>
        <v>140791</v>
      </c>
      <c r="AQ16" s="135">
        <f t="shared" si="4"/>
        <v>61554</v>
      </c>
      <c r="AR16" s="135">
        <f t="shared" si="4"/>
        <v>57095</v>
      </c>
      <c r="AS16" s="135">
        <f t="shared" si="4"/>
        <v>37899</v>
      </c>
      <c r="AT16" s="135">
        <f t="shared" si="4"/>
        <v>67813</v>
      </c>
      <c r="AU16" s="135">
        <f t="shared" si="4"/>
        <v>0</v>
      </c>
      <c r="AV16" s="135">
        <f t="shared" si="4"/>
        <v>20</v>
      </c>
      <c r="AW16" s="135">
        <f t="shared" si="4"/>
        <v>673</v>
      </c>
      <c r="AX16" s="135">
        <f t="shared" si="4"/>
        <v>38727</v>
      </c>
      <c r="AY16" s="135">
        <f t="shared" si="4"/>
        <v>1708</v>
      </c>
      <c r="AZ16" s="135">
        <f t="shared" si="4"/>
        <v>0</v>
      </c>
      <c r="BA16" s="135">
        <f t="shared" si="4"/>
        <v>169360</v>
      </c>
      <c r="BB16" s="135">
        <f t="shared" si="4"/>
        <v>511</v>
      </c>
      <c r="BC16" s="135">
        <f t="shared" si="4"/>
        <v>435</v>
      </c>
      <c r="BD16" s="138">
        <f>SUM(B16:BC16)</f>
        <v>1329184</v>
      </c>
    </row>
    <row r="20" spans="1:56" x14ac:dyDescent="0.2">
      <c r="A20" s="26">
        <v>2017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/>
      <c r="BA20" s="31"/>
      <c r="BB20" s="31"/>
      <c r="BC20" s="31"/>
      <c r="BD20" s="31"/>
    </row>
    <row r="21" spans="1:56" x14ac:dyDescent="0.2">
      <c r="A21" s="106" t="s">
        <v>59</v>
      </c>
      <c r="C21">
        <v>70.459999999999994</v>
      </c>
      <c r="E21">
        <v>25.4</v>
      </c>
      <c r="F21">
        <v>280.95999999999998</v>
      </c>
      <c r="H21">
        <v>381.03</v>
      </c>
      <c r="I21">
        <v>810.7</v>
      </c>
      <c r="K21">
        <v>89.87</v>
      </c>
      <c r="L21">
        <v>20.89</v>
      </c>
      <c r="M21">
        <v>244.84</v>
      </c>
      <c r="N21">
        <v>50.19</v>
      </c>
      <c r="O21">
        <v>144.9</v>
      </c>
      <c r="P21">
        <v>166.45</v>
      </c>
      <c r="Q21">
        <v>224.3</v>
      </c>
      <c r="R21">
        <v>104.52</v>
      </c>
      <c r="S21">
        <v>414.36</v>
      </c>
      <c r="U21">
        <v>17.52</v>
      </c>
      <c r="V21">
        <v>169.9</v>
      </c>
      <c r="W21">
        <v>18.690000000000001</v>
      </c>
      <c r="X21">
        <v>15.29</v>
      </c>
      <c r="Y21">
        <v>1031.94</v>
      </c>
      <c r="Z21">
        <v>195.72</v>
      </c>
      <c r="AA21">
        <v>2640.98</v>
      </c>
      <c r="AB21">
        <v>1305.76</v>
      </c>
      <c r="AC21">
        <v>0</v>
      </c>
      <c r="AD21">
        <v>0</v>
      </c>
      <c r="AE21">
        <v>146.55000000000001</v>
      </c>
      <c r="AF21">
        <v>0</v>
      </c>
      <c r="AG21">
        <v>0</v>
      </c>
      <c r="AH21">
        <v>0</v>
      </c>
      <c r="AJ21">
        <v>551.21</v>
      </c>
      <c r="AL21">
        <v>772.48</v>
      </c>
      <c r="AM21">
        <v>335.02</v>
      </c>
      <c r="AN21">
        <v>447.07</v>
      </c>
      <c r="AO21">
        <v>0</v>
      </c>
      <c r="AP21">
        <v>0</v>
      </c>
      <c r="AQ21">
        <v>258.64999999999998</v>
      </c>
      <c r="AR21">
        <v>0</v>
      </c>
      <c r="AS21">
        <v>186.72</v>
      </c>
      <c r="AT21">
        <v>0</v>
      </c>
      <c r="AV21">
        <v>12.42</v>
      </c>
      <c r="AW21">
        <v>154.28</v>
      </c>
      <c r="AX21">
        <v>-25.14</v>
      </c>
      <c r="AY21">
        <v>291.45999999999998</v>
      </c>
      <c r="AZ21">
        <v>11.21</v>
      </c>
      <c r="BA21">
        <v>906.98</v>
      </c>
      <c r="BB21">
        <v>98.22</v>
      </c>
      <c r="BC21">
        <v>35.229999999999997</v>
      </c>
      <c r="BD21">
        <v>35.229999999999997</v>
      </c>
    </row>
    <row r="22" spans="1:56" x14ac:dyDescent="0.2">
      <c r="A22" s="113" t="s">
        <v>42</v>
      </c>
      <c r="C22">
        <v>71.239999999999995</v>
      </c>
      <c r="E22">
        <v>24.06</v>
      </c>
      <c r="F22">
        <v>205.28</v>
      </c>
      <c r="H22">
        <v>287.04000000000002</v>
      </c>
      <c r="I22">
        <v>515.55999999999995</v>
      </c>
      <c r="K22">
        <v>69.78</v>
      </c>
      <c r="L22">
        <v>20.89</v>
      </c>
      <c r="M22">
        <v>117.8</v>
      </c>
      <c r="N22">
        <v>22.03</v>
      </c>
      <c r="O22">
        <v>97.47</v>
      </c>
      <c r="P22">
        <v>105.98</v>
      </c>
      <c r="Q22">
        <v>166.71</v>
      </c>
      <c r="R22">
        <v>84.36</v>
      </c>
      <c r="S22">
        <v>333.38</v>
      </c>
      <c r="U22">
        <v>16.47</v>
      </c>
      <c r="V22">
        <v>154.1</v>
      </c>
      <c r="W22">
        <v>17.350000000000001</v>
      </c>
      <c r="X22">
        <v>15.29</v>
      </c>
      <c r="Y22">
        <v>599.86</v>
      </c>
      <c r="Z22">
        <v>104.75</v>
      </c>
      <c r="AA22">
        <v>2067.27</v>
      </c>
      <c r="AB22">
        <v>1015.58</v>
      </c>
      <c r="AC22">
        <v>0</v>
      </c>
      <c r="AD22">
        <v>0</v>
      </c>
      <c r="AE22">
        <v>100.15</v>
      </c>
      <c r="AF22">
        <v>0</v>
      </c>
      <c r="AG22">
        <v>0</v>
      </c>
      <c r="AH22">
        <v>0</v>
      </c>
      <c r="AJ22">
        <v>14.67</v>
      </c>
      <c r="AL22">
        <v>699.65</v>
      </c>
      <c r="AM22">
        <v>283.56</v>
      </c>
      <c r="AN22">
        <v>251.82</v>
      </c>
      <c r="AO22">
        <v>0</v>
      </c>
      <c r="AP22">
        <v>0</v>
      </c>
      <c r="AQ22">
        <v>179.85</v>
      </c>
      <c r="AR22">
        <v>0</v>
      </c>
      <c r="AS22">
        <v>121.33</v>
      </c>
      <c r="AT22">
        <v>0</v>
      </c>
      <c r="AV22">
        <v>13.44</v>
      </c>
      <c r="AW22">
        <v>111.15</v>
      </c>
      <c r="AX22">
        <v>-25.14</v>
      </c>
      <c r="AY22">
        <v>161.38999999999999</v>
      </c>
      <c r="AZ22">
        <v>11.21</v>
      </c>
      <c r="BA22">
        <v>694.3</v>
      </c>
      <c r="BB22">
        <v>69.8</v>
      </c>
      <c r="BC22">
        <v>89.59</v>
      </c>
      <c r="BD22">
        <v>89.59</v>
      </c>
    </row>
    <row r="23" spans="1:56" x14ac:dyDescent="0.2">
      <c r="A23" s="113" t="s">
        <v>43</v>
      </c>
      <c r="C23">
        <v>49.58</v>
      </c>
      <c r="E23">
        <v>21</v>
      </c>
      <c r="F23">
        <v>81.77</v>
      </c>
      <c r="H23">
        <v>98.6</v>
      </c>
      <c r="I23">
        <v>321.07</v>
      </c>
      <c r="K23">
        <v>64.47</v>
      </c>
      <c r="L23">
        <v>21.16</v>
      </c>
      <c r="M23">
        <v>106.14</v>
      </c>
      <c r="N23">
        <v>22.37</v>
      </c>
      <c r="O23">
        <v>86.87</v>
      </c>
      <c r="P23">
        <v>86.59</v>
      </c>
      <c r="Q23">
        <v>167.93</v>
      </c>
      <c r="R23">
        <v>98.46</v>
      </c>
      <c r="S23">
        <v>302.43</v>
      </c>
      <c r="U23">
        <v>14.31</v>
      </c>
      <c r="V23">
        <v>87.55</v>
      </c>
      <c r="W23">
        <v>17.350000000000001</v>
      </c>
      <c r="X23">
        <v>15.29</v>
      </c>
      <c r="Y23">
        <v>398.64</v>
      </c>
      <c r="Z23">
        <v>70.23</v>
      </c>
      <c r="AA23">
        <v>1787.16</v>
      </c>
      <c r="AB23">
        <v>1037.29</v>
      </c>
      <c r="AC23">
        <v>0</v>
      </c>
      <c r="AD23">
        <v>0</v>
      </c>
      <c r="AE23">
        <v>84.48</v>
      </c>
      <c r="AF23">
        <v>0</v>
      </c>
      <c r="AG23">
        <v>0</v>
      </c>
      <c r="AH23">
        <v>0</v>
      </c>
      <c r="AJ23">
        <v>14.67</v>
      </c>
      <c r="AL23">
        <v>491.85</v>
      </c>
      <c r="AM23">
        <v>104.81</v>
      </c>
      <c r="AN23">
        <v>173.21</v>
      </c>
      <c r="AO23">
        <v>0</v>
      </c>
      <c r="AP23">
        <v>0</v>
      </c>
      <c r="AQ23">
        <v>166.48</v>
      </c>
      <c r="AR23">
        <v>0</v>
      </c>
      <c r="AS23">
        <v>113.45</v>
      </c>
      <c r="AT23">
        <v>0</v>
      </c>
      <c r="AV23">
        <v>13.34</v>
      </c>
      <c r="AW23">
        <v>81.33</v>
      </c>
      <c r="AX23">
        <v>-25.14</v>
      </c>
      <c r="AY23">
        <v>162.16</v>
      </c>
      <c r="AZ23">
        <v>11.02</v>
      </c>
      <c r="BA23">
        <v>16.420000000000002</v>
      </c>
      <c r="BB23">
        <v>62.97</v>
      </c>
      <c r="BC23">
        <v>30.19</v>
      </c>
      <c r="BD23">
        <v>30.19</v>
      </c>
    </row>
    <row r="24" spans="1:56" x14ac:dyDescent="0.2">
      <c r="A24" s="113" t="s">
        <v>44</v>
      </c>
      <c r="C24">
        <v>21.02</v>
      </c>
      <c r="E24">
        <v>20.3</v>
      </c>
      <c r="F24">
        <v>14.67</v>
      </c>
      <c r="H24">
        <v>56.38</v>
      </c>
      <c r="I24">
        <v>28.49</v>
      </c>
      <c r="K24">
        <v>24.1</v>
      </c>
      <c r="L24">
        <v>21.89</v>
      </c>
      <c r="M24">
        <v>20.43</v>
      </c>
      <c r="N24">
        <v>15.34</v>
      </c>
      <c r="O24">
        <v>18.149999999999999</v>
      </c>
      <c r="P24">
        <v>65.8</v>
      </c>
      <c r="Q24">
        <v>25.23</v>
      </c>
      <c r="R24">
        <v>17.440000000000001</v>
      </c>
      <c r="S24">
        <v>167.37</v>
      </c>
      <c r="U24">
        <v>15.59</v>
      </c>
      <c r="V24">
        <v>27.77</v>
      </c>
      <c r="W24">
        <v>17.48</v>
      </c>
      <c r="X24">
        <v>15.29</v>
      </c>
      <c r="Y24">
        <v>63.2</v>
      </c>
      <c r="Z24">
        <v>17.440000000000001</v>
      </c>
      <c r="AA24">
        <v>957.07</v>
      </c>
      <c r="AB24">
        <v>864.88</v>
      </c>
      <c r="AC24">
        <v>0</v>
      </c>
      <c r="AD24">
        <v>0</v>
      </c>
      <c r="AE24">
        <v>46.84</v>
      </c>
      <c r="AF24">
        <v>0</v>
      </c>
      <c r="AG24">
        <v>0</v>
      </c>
      <c r="AH24">
        <v>0</v>
      </c>
      <c r="AJ24">
        <v>14.67</v>
      </c>
      <c r="AL24">
        <v>314.02</v>
      </c>
      <c r="AM24">
        <v>19.690000000000001</v>
      </c>
      <c r="AN24">
        <v>78.010000000000005</v>
      </c>
      <c r="AO24">
        <v>0</v>
      </c>
      <c r="AP24">
        <v>0</v>
      </c>
      <c r="AQ24">
        <v>70.39</v>
      </c>
      <c r="AR24">
        <v>0</v>
      </c>
      <c r="AS24">
        <v>2</v>
      </c>
      <c r="AT24">
        <v>0</v>
      </c>
      <c r="AV24">
        <v>11.42</v>
      </c>
      <c r="AW24">
        <v>24.1</v>
      </c>
      <c r="AX24">
        <v>-25.14</v>
      </c>
      <c r="AY24">
        <v>42.45</v>
      </c>
      <c r="AZ24">
        <v>11.21</v>
      </c>
      <c r="BA24">
        <v>0</v>
      </c>
      <c r="BB24">
        <v>24.53</v>
      </c>
      <c r="BC24">
        <v>15.77</v>
      </c>
      <c r="BD24">
        <v>15.77</v>
      </c>
    </row>
    <row r="25" spans="1:56" x14ac:dyDescent="0.2">
      <c r="A25" s="113" t="s">
        <v>45</v>
      </c>
      <c r="C25">
        <v>20.32</v>
      </c>
      <c r="E25">
        <v>18.190000000000001</v>
      </c>
      <c r="F25">
        <v>14.67</v>
      </c>
      <c r="H25">
        <v>22.62</v>
      </c>
      <c r="I25">
        <v>60.79</v>
      </c>
      <c r="K25">
        <v>16.78</v>
      </c>
      <c r="L25">
        <v>21.28</v>
      </c>
      <c r="M25">
        <v>21.28</v>
      </c>
      <c r="N25">
        <v>15.34</v>
      </c>
      <c r="O25">
        <v>18.21</v>
      </c>
      <c r="P25">
        <v>25.57</v>
      </c>
      <c r="Q25">
        <v>19.7</v>
      </c>
      <c r="R25">
        <v>18.21</v>
      </c>
      <c r="S25">
        <v>16.05</v>
      </c>
      <c r="U25">
        <v>14.48</v>
      </c>
      <c r="V25">
        <v>19.04</v>
      </c>
      <c r="W25">
        <v>16.77</v>
      </c>
      <c r="X25">
        <v>15.29</v>
      </c>
      <c r="Y25">
        <v>52.67</v>
      </c>
      <c r="Z25">
        <v>15.34</v>
      </c>
      <c r="AA25">
        <v>711.47</v>
      </c>
      <c r="AB25">
        <v>623.91</v>
      </c>
      <c r="AC25">
        <v>0</v>
      </c>
      <c r="AD25">
        <v>0</v>
      </c>
      <c r="AE25">
        <v>36.57</v>
      </c>
      <c r="AF25">
        <v>0</v>
      </c>
      <c r="AG25">
        <v>0</v>
      </c>
      <c r="AH25">
        <v>0</v>
      </c>
      <c r="AJ25">
        <v>14.67</v>
      </c>
      <c r="AL25">
        <v>228.75</v>
      </c>
      <c r="AM25">
        <v>18.29</v>
      </c>
      <c r="AN25">
        <v>30.4</v>
      </c>
      <c r="AO25">
        <v>0</v>
      </c>
      <c r="AP25">
        <v>0</v>
      </c>
      <c r="AQ25">
        <v>65.95</v>
      </c>
      <c r="AR25">
        <v>0</v>
      </c>
      <c r="AS25">
        <v>6.72</v>
      </c>
      <c r="AT25">
        <v>0</v>
      </c>
      <c r="AV25">
        <v>11.42</v>
      </c>
      <c r="AW25">
        <v>68.13</v>
      </c>
      <c r="AX25">
        <v>-25.14</v>
      </c>
      <c r="AY25">
        <v>30.25</v>
      </c>
      <c r="AZ25">
        <v>11.21</v>
      </c>
      <c r="BA25">
        <v>2.94</v>
      </c>
      <c r="BB25">
        <v>23.84</v>
      </c>
      <c r="BC25">
        <v>52.07</v>
      </c>
      <c r="BD25">
        <v>52.07</v>
      </c>
    </row>
    <row r="26" spans="1:56" x14ac:dyDescent="0.2">
      <c r="A26" s="113" t="s">
        <v>46</v>
      </c>
      <c r="C26">
        <v>21.85</v>
      </c>
      <c r="E26">
        <v>19.7</v>
      </c>
      <c r="F26">
        <v>14.67</v>
      </c>
      <c r="H26">
        <v>22.77</v>
      </c>
      <c r="I26">
        <v>15.29</v>
      </c>
      <c r="K26">
        <v>15.29</v>
      </c>
      <c r="L26">
        <v>21.28</v>
      </c>
      <c r="M26">
        <v>19.78</v>
      </c>
      <c r="N26">
        <v>15.34</v>
      </c>
      <c r="O26">
        <v>15.34</v>
      </c>
      <c r="P26">
        <v>20.260000000000002</v>
      </c>
      <c r="Q26">
        <v>14.67</v>
      </c>
      <c r="R26">
        <v>17.48</v>
      </c>
      <c r="S26">
        <v>15.34</v>
      </c>
      <c r="U26">
        <v>15.55</v>
      </c>
      <c r="V26">
        <v>19.04</v>
      </c>
      <c r="W26">
        <v>16.809999999999999</v>
      </c>
      <c r="X26">
        <v>15.29</v>
      </c>
      <c r="Y26">
        <v>32.57</v>
      </c>
      <c r="Z26">
        <v>16.05</v>
      </c>
      <c r="AA26">
        <v>163.16999999999999</v>
      </c>
      <c r="AB26">
        <v>820.54</v>
      </c>
      <c r="AC26">
        <v>0</v>
      </c>
      <c r="AD26">
        <v>0</v>
      </c>
      <c r="AE26">
        <v>34</v>
      </c>
      <c r="AF26">
        <v>0</v>
      </c>
      <c r="AG26">
        <v>0</v>
      </c>
      <c r="AH26">
        <v>0</v>
      </c>
      <c r="AJ26">
        <v>14.67</v>
      </c>
      <c r="AL26">
        <v>212.75</v>
      </c>
      <c r="AM26">
        <v>15.29</v>
      </c>
      <c r="AN26">
        <v>2.7</v>
      </c>
      <c r="AO26">
        <v>2.59</v>
      </c>
      <c r="AP26">
        <v>0.64</v>
      </c>
      <c r="AQ26">
        <v>38.869999999999997</v>
      </c>
      <c r="AR26">
        <v>0</v>
      </c>
      <c r="AS26">
        <v>0</v>
      </c>
      <c r="AT26">
        <v>0</v>
      </c>
      <c r="AV26">
        <v>11.42</v>
      </c>
      <c r="AW26">
        <v>19.04</v>
      </c>
      <c r="AX26">
        <v>-25.14</v>
      </c>
      <c r="AY26">
        <v>15.29</v>
      </c>
      <c r="AZ26">
        <v>11.21</v>
      </c>
      <c r="BA26">
        <v>0</v>
      </c>
      <c r="BB26">
        <v>18.98</v>
      </c>
      <c r="BC26">
        <v>31.2</v>
      </c>
      <c r="BD26">
        <v>31.2</v>
      </c>
    </row>
    <row r="27" spans="1:56" x14ac:dyDescent="0.2">
      <c r="A27" s="113" t="s">
        <v>47</v>
      </c>
      <c r="C27">
        <v>20.420000000000002</v>
      </c>
      <c r="E27">
        <v>17.54</v>
      </c>
      <c r="F27">
        <v>14.67</v>
      </c>
      <c r="H27">
        <v>22.77</v>
      </c>
      <c r="I27">
        <v>15.29</v>
      </c>
      <c r="K27">
        <v>15.29</v>
      </c>
      <c r="L27">
        <v>19.78</v>
      </c>
      <c r="M27">
        <v>21.28</v>
      </c>
      <c r="N27">
        <v>16.05</v>
      </c>
      <c r="O27">
        <v>16.05</v>
      </c>
      <c r="P27">
        <v>19.22</v>
      </c>
      <c r="Q27">
        <v>14.67</v>
      </c>
      <c r="R27">
        <v>18.21</v>
      </c>
      <c r="S27">
        <v>15.34</v>
      </c>
      <c r="U27">
        <v>14.48</v>
      </c>
      <c r="V27">
        <v>19.04</v>
      </c>
      <c r="W27">
        <v>16.100000000000001</v>
      </c>
      <c r="X27">
        <v>15.29</v>
      </c>
      <c r="Y27">
        <v>32.57</v>
      </c>
      <c r="Z27">
        <v>15.34</v>
      </c>
      <c r="AA27">
        <v>157.46</v>
      </c>
      <c r="AB27">
        <v>781.89</v>
      </c>
      <c r="AC27">
        <v>1.3</v>
      </c>
      <c r="AD27">
        <v>14.91</v>
      </c>
      <c r="AE27">
        <v>24.28</v>
      </c>
      <c r="AF27">
        <v>0</v>
      </c>
      <c r="AG27">
        <v>0</v>
      </c>
      <c r="AH27">
        <v>0</v>
      </c>
      <c r="AJ27">
        <v>14.67</v>
      </c>
      <c r="AL27">
        <v>204.01</v>
      </c>
      <c r="AM27">
        <v>19.78</v>
      </c>
      <c r="AN27">
        <v>4.7300000000000004</v>
      </c>
      <c r="AO27">
        <v>0</v>
      </c>
      <c r="AP27">
        <v>0</v>
      </c>
      <c r="AQ27">
        <v>14.26</v>
      </c>
      <c r="AR27">
        <v>9.1300000000000008</v>
      </c>
      <c r="AS27">
        <v>0</v>
      </c>
      <c r="AT27">
        <v>0</v>
      </c>
      <c r="AV27">
        <v>11.42</v>
      </c>
      <c r="AW27">
        <v>16.03</v>
      </c>
      <c r="AX27">
        <v>-16.059999999999999</v>
      </c>
      <c r="AY27">
        <v>15.29</v>
      </c>
      <c r="AZ27">
        <v>11.21</v>
      </c>
      <c r="BA27">
        <v>0</v>
      </c>
      <c r="BB27">
        <v>20.420000000000002</v>
      </c>
      <c r="BC27">
        <v>15.77</v>
      </c>
      <c r="BD27">
        <v>15.77</v>
      </c>
    </row>
    <row r="28" spans="1:56" x14ac:dyDescent="0.2">
      <c r="A28" s="113" t="s">
        <v>48</v>
      </c>
      <c r="C28">
        <v>20.420000000000002</v>
      </c>
      <c r="E28">
        <v>18.260000000000002</v>
      </c>
      <c r="F28">
        <v>14.67</v>
      </c>
      <c r="H28">
        <v>22.03</v>
      </c>
      <c r="I28">
        <v>15.29</v>
      </c>
      <c r="K28">
        <v>15.29</v>
      </c>
      <c r="L28">
        <v>19.78</v>
      </c>
      <c r="M28">
        <v>20.54</v>
      </c>
      <c r="N28">
        <v>15.34</v>
      </c>
      <c r="O28">
        <v>15.34</v>
      </c>
      <c r="P28">
        <v>18.170000000000002</v>
      </c>
      <c r="Q28">
        <v>14.67</v>
      </c>
      <c r="R28">
        <v>17.48</v>
      </c>
      <c r="S28">
        <v>74.2</v>
      </c>
      <c r="U28">
        <v>14.48</v>
      </c>
      <c r="V28">
        <v>18.29</v>
      </c>
      <c r="W28">
        <v>16.100000000000001</v>
      </c>
      <c r="X28">
        <v>15.29</v>
      </c>
      <c r="Y28">
        <v>30.41</v>
      </c>
      <c r="Z28">
        <v>15.34</v>
      </c>
      <c r="AA28">
        <v>151.72999999999999</v>
      </c>
      <c r="AB28">
        <v>721.71</v>
      </c>
      <c r="AC28">
        <v>6.48</v>
      </c>
      <c r="AD28">
        <v>14.91</v>
      </c>
      <c r="AE28">
        <v>31</v>
      </c>
      <c r="AF28">
        <v>191.87</v>
      </c>
      <c r="AG28">
        <v>13.5</v>
      </c>
      <c r="AH28">
        <v>5.27</v>
      </c>
      <c r="AJ28">
        <v>14.67</v>
      </c>
      <c r="AL28">
        <v>4599.95</v>
      </c>
      <c r="AM28">
        <v>30581.4</v>
      </c>
      <c r="AN28">
        <v>3009.99</v>
      </c>
      <c r="AO28">
        <v>6992.36</v>
      </c>
      <c r="AP28">
        <v>36.299999999999997</v>
      </c>
      <c r="AQ28">
        <v>35</v>
      </c>
      <c r="AR28">
        <v>13.67</v>
      </c>
      <c r="AS28">
        <v>0</v>
      </c>
      <c r="AT28">
        <v>24.3</v>
      </c>
      <c r="AV28">
        <v>13.51</v>
      </c>
      <c r="AW28">
        <v>33.26</v>
      </c>
      <c r="AX28">
        <v>1441.77</v>
      </c>
      <c r="AY28">
        <v>15.29</v>
      </c>
      <c r="AZ28">
        <v>11.21</v>
      </c>
      <c r="BA28">
        <v>6.03</v>
      </c>
      <c r="BB28">
        <v>19.690000000000001</v>
      </c>
      <c r="BC28">
        <v>184.75</v>
      </c>
      <c r="BD28">
        <v>184.75</v>
      </c>
    </row>
    <row r="29" spans="1:56" x14ac:dyDescent="0.2">
      <c r="A29" s="113" t="s">
        <v>49</v>
      </c>
      <c r="C29">
        <v>32.630000000000003</v>
      </c>
      <c r="E29">
        <v>20.440000000000001</v>
      </c>
      <c r="F29">
        <v>15.35</v>
      </c>
      <c r="H29">
        <v>22.77</v>
      </c>
      <c r="I29">
        <v>15.29</v>
      </c>
      <c r="K29">
        <v>16</v>
      </c>
      <c r="L29">
        <v>19.79</v>
      </c>
      <c r="M29">
        <v>20.54</v>
      </c>
      <c r="N29">
        <v>16.02</v>
      </c>
      <c r="O29">
        <v>16.02</v>
      </c>
      <c r="P29">
        <v>18.170000000000002</v>
      </c>
      <c r="Q29">
        <v>16.8</v>
      </c>
      <c r="R29">
        <v>18.93</v>
      </c>
      <c r="S29">
        <v>328.72</v>
      </c>
      <c r="U29">
        <v>19.47</v>
      </c>
      <c r="V29">
        <v>19.79</v>
      </c>
      <c r="W29">
        <v>16.809999999999999</v>
      </c>
      <c r="X29">
        <v>16</v>
      </c>
      <c r="Y29">
        <v>34.159999999999997</v>
      </c>
      <c r="Z29">
        <v>16.739999999999998</v>
      </c>
      <c r="AA29">
        <v>178.54</v>
      </c>
      <c r="AB29">
        <v>1107.05</v>
      </c>
      <c r="AC29">
        <v>19059.25</v>
      </c>
      <c r="AD29">
        <v>153.97999999999999</v>
      </c>
      <c r="AE29">
        <v>36.44</v>
      </c>
      <c r="AF29">
        <v>18224.400000000001</v>
      </c>
      <c r="AG29">
        <v>14104.61</v>
      </c>
      <c r="AH29">
        <v>30970.799999999999</v>
      </c>
      <c r="AJ29">
        <v>17.54</v>
      </c>
      <c r="AL29">
        <v>11298.71</v>
      </c>
      <c r="AM29">
        <v>59452.91</v>
      </c>
      <c r="AN29">
        <v>23683.94</v>
      </c>
      <c r="AO29">
        <v>30508.18</v>
      </c>
      <c r="AP29">
        <v>24986.6</v>
      </c>
      <c r="AQ29">
        <v>13017.96</v>
      </c>
      <c r="AR29">
        <v>16983.310000000001</v>
      </c>
      <c r="AS29">
        <v>17399.5</v>
      </c>
      <c r="AT29">
        <v>9590.07</v>
      </c>
      <c r="AV29">
        <v>18.27</v>
      </c>
      <c r="AW29">
        <v>17.52</v>
      </c>
      <c r="AX29">
        <v>14754.11</v>
      </c>
      <c r="AY29">
        <v>16</v>
      </c>
      <c r="AZ29">
        <v>11.7</v>
      </c>
      <c r="BA29">
        <v>56745.48</v>
      </c>
      <c r="BB29">
        <v>21.13</v>
      </c>
      <c r="BC29">
        <v>15.77</v>
      </c>
      <c r="BD29">
        <v>15.77</v>
      </c>
    </row>
    <row r="30" spans="1:56" x14ac:dyDescent="0.2">
      <c r="A30" s="113" t="s">
        <v>50</v>
      </c>
      <c r="C30">
        <v>29.12</v>
      </c>
      <c r="E30">
        <v>21.28</v>
      </c>
      <c r="F30">
        <v>16.09</v>
      </c>
      <c r="H30">
        <v>22.82</v>
      </c>
      <c r="I30">
        <v>16</v>
      </c>
      <c r="K30">
        <v>29.11</v>
      </c>
      <c r="L30">
        <v>21.4</v>
      </c>
      <c r="M30">
        <v>27.57</v>
      </c>
      <c r="N30">
        <v>16.02</v>
      </c>
      <c r="O30">
        <v>40.42</v>
      </c>
      <c r="P30">
        <v>19.850000000000001</v>
      </c>
      <c r="Q30">
        <v>58.25</v>
      </c>
      <c r="R30">
        <v>41.18</v>
      </c>
      <c r="S30">
        <v>302.02</v>
      </c>
      <c r="U30">
        <v>13.96</v>
      </c>
      <c r="V30">
        <v>36.04</v>
      </c>
      <c r="W30">
        <v>16.8</v>
      </c>
      <c r="X30">
        <v>16</v>
      </c>
      <c r="Y30">
        <v>265.92</v>
      </c>
      <c r="Z30">
        <v>23.42</v>
      </c>
      <c r="AA30">
        <v>715.94</v>
      </c>
      <c r="AB30">
        <v>647.44000000000005</v>
      </c>
      <c r="AC30">
        <v>4687.67</v>
      </c>
      <c r="AD30">
        <v>0</v>
      </c>
      <c r="AE30">
        <v>59.18</v>
      </c>
      <c r="AF30">
        <v>9762.61</v>
      </c>
      <c r="AG30">
        <v>21628.11</v>
      </c>
      <c r="AH30">
        <v>21941.38</v>
      </c>
      <c r="AJ30">
        <v>4959.4799999999996</v>
      </c>
      <c r="AL30">
        <v>3994.96</v>
      </c>
      <c r="AM30">
        <v>12011.81</v>
      </c>
      <c r="AN30">
        <v>22334.720000000001</v>
      </c>
      <c r="AO30">
        <v>9434.59</v>
      </c>
      <c r="AP30">
        <v>39945.4</v>
      </c>
      <c r="AQ30">
        <v>170102.81</v>
      </c>
      <c r="AR30">
        <v>12086.09</v>
      </c>
      <c r="AS30">
        <v>3316.72</v>
      </c>
      <c r="AT30">
        <v>23810.6</v>
      </c>
      <c r="AV30">
        <v>15.16</v>
      </c>
      <c r="AW30">
        <v>16.75</v>
      </c>
      <c r="AX30">
        <v>2455.46</v>
      </c>
      <c r="AY30">
        <v>59.96</v>
      </c>
      <c r="AZ30">
        <v>11.7</v>
      </c>
      <c r="BA30">
        <v>47387.95</v>
      </c>
      <c r="BB30">
        <v>21.16</v>
      </c>
      <c r="BC30">
        <v>16.5</v>
      </c>
      <c r="BD30">
        <v>16.5</v>
      </c>
    </row>
    <row r="31" spans="1:56" x14ac:dyDescent="0.2">
      <c r="A31" s="113" t="s">
        <v>51</v>
      </c>
      <c r="C31">
        <v>21.25</v>
      </c>
      <c r="E31">
        <v>22.03</v>
      </c>
      <c r="F31">
        <v>214.72</v>
      </c>
      <c r="H31">
        <v>106.85</v>
      </c>
      <c r="I31">
        <v>298.8</v>
      </c>
      <c r="K31">
        <v>80.03</v>
      </c>
      <c r="L31">
        <v>21.4</v>
      </c>
      <c r="M31">
        <v>80.81</v>
      </c>
      <c r="N31">
        <v>16.760000000000002</v>
      </c>
      <c r="O31">
        <v>57.44</v>
      </c>
      <c r="P31">
        <v>24.37</v>
      </c>
      <c r="Q31">
        <v>94.14</v>
      </c>
      <c r="R31">
        <v>152.09</v>
      </c>
      <c r="S31">
        <v>283.98</v>
      </c>
      <c r="U31">
        <v>12.82</v>
      </c>
      <c r="V31">
        <v>140.27000000000001</v>
      </c>
      <c r="W31">
        <v>18.32</v>
      </c>
      <c r="X31">
        <v>16</v>
      </c>
      <c r="Y31">
        <v>653.23</v>
      </c>
      <c r="Z31">
        <v>91.8</v>
      </c>
      <c r="AA31">
        <v>1615.3</v>
      </c>
      <c r="AB31">
        <v>1161.68</v>
      </c>
      <c r="AC31">
        <v>1.63</v>
      </c>
      <c r="AD31">
        <v>0</v>
      </c>
      <c r="AE31">
        <v>105.2</v>
      </c>
      <c r="AF31">
        <v>0</v>
      </c>
      <c r="AG31">
        <v>4695.83</v>
      </c>
      <c r="AH31">
        <v>0</v>
      </c>
      <c r="AJ31">
        <v>12343.51</v>
      </c>
      <c r="AL31">
        <v>1725.14</v>
      </c>
      <c r="AM31">
        <v>1544.68</v>
      </c>
      <c r="AN31">
        <v>7278.12</v>
      </c>
      <c r="AO31">
        <v>17.920000000000002</v>
      </c>
      <c r="AP31">
        <v>4444.17</v>
      </c>
      <c r="AQ31">
        <v>578.42999999999995</v>
      </c>
      <c r="AR31">
        <v>0</v>
      </c>
      <c r="AS31">
        <v>121.76</v>
      </c>
      <c r="AT31">
        <v>3384.61</v>
      </c>
      <c r="AV31">
        <v>14.06</v>
      </c>
      <c r="AW31">
        <v>29.11</v>
      </c>
      <c r="AX31">
        <v>132.80000000000001</v>
      </c>
      <c r="AY31">
        <v>172.61</v>
      </c>
      <c r="AZ31">
        <v>11.7</v>
      </c>
      <c r="BA31">
        <v>1086.1400000000001</v>
      </c>
      <c r="BB31">
        <v>58.24</v>
      </c>
      <c r="BC31">
        <v>16.5</v>
      </c>
    </row>
    <row r="32" spans="1:56" x14ac:dyDescent="0.2">
      <c r="A32" s="113" t="s">
        <v>52</v>
      </c>
      <c r="C32">
        <v>83.88</v>
      </c>
      <c r="E32">
        <v>28.58</v>
      </c>
      <c r="F32">
        <v>342.98</v>
      </c>
      <c r="H32">
        <v>185.29</v>
      </c>
      <c r="I32">
        <v>712.2</v>
      </c>
      <c r="K32">
        <v>145.47999999999999</v>
      </c>
      <c r="L32">
        <v>22.14</v>
      </c>
      <c r="M32">
        <v>368.79</v>
      </c>
      <c r="N32">
        <v>70.45</v>
      </c>
      <c r="O32">
        <v>190.55</v>
      </c>
      <c r="P32">
        <v>99.58</v>
      </c>
      <c r="Q32">
        <v>451.53</v>
      </c>
      <c r="R32">
        <v>138.08000000000001</v>
      </c>
      <c r="S32">
        <v>764.89</v>
      </c>
      <c r="U32">
        <v>12.82</v>
      </c>
      <c r="V32">
        <v>414.49</v>
      </c>
      <c r="W32">
        <v>19.05</v>
      </c>
      <c r="Y32">
        <v>1533.73</v>
      </c>
      <c r="Z32">
        <v>363.8</v>
      </c>
      <c r="AA32">
        <v>3767.79</v>
      </c>
      <c r="AB32">
        <v>1830.79</v>
      </c>
      <c r="AC32">
        <v>0</v>
      </c>
      <c r="AD32">
        <v>0</v>
      </c>
      <c r="AE32">
        <v>209.19</v>
      </c>
      <c r="AF32">
        <v>0</v>
      </c>
      <c r="AG32">
        <v>1485.71</v>
      </c>
      <c r="AH32">
        <v>0</v>
      </c>
      <c r="AJ32">
        <v>643.48</v>
      </c>
      <c r="AL32">
        <v>955.51</v>
      </c>
      <c r="AM32">
        <v>956.25</v>
      </c>
      <c r="AN32">
        <v>596.44000000000005</v>
      </c>
      <c r="AO32">
        <v>0</v>
      </c>
      <c r="AP32">
        <v>112.43</v>
      </c>
      <c r="AQ32">
        <v>316.92</v>
      </c>
      <c r="AR32">
        <v>0</v>
      </c>
      <c r="AS32">
        <v>225.92</v>
      </c>
      <c r="AT32">
        <v>0</v>
      </c>
      <c r="AV32">
        <v>14.07</v>
      </c>
      <c r="AW32">
        <v>105.99</v>
      </c>
      <c r="AX32">
        <v>0</v>
      </c>
      <c r="AY32">
        <v>470.72</v>
      </c>
      <c r="AZ32">
        <v>11.7</v>
      </c>
      <c r="BA32">
        <v>8.5</v>
      </c>
      <c r="BB32">
        <v>106.28</v>
      </c>
      <c r="BC32">
        <v>16.5</v>
      </c>
    </row>
    <row r="33" spans="1:56" ht="13.5" thickBot="1" x14ac:dyDescent="0.25">
      <c r="A33" s="106" t="s">
        <v>58</v>
      </c>
      <c r="B33" s="116">
        <f>SUM(B21:B32)</f>
        <v>0</v>
      </c>
      <c r="C33" s="116">
        <f>SUM(C21:C32)</f>
        <v>462.19</v>
      </c>
      <c r="D33" s="116"/>
      <c r="E33" s="116">
        <f t="shared" ref="E33:AY33" si="5">SUM(E21:E32)</f>
        <v>256.77999999999997</v>
      </c>
      <c r="F33" s="116">
        <f t="shared" si="5"/>
        <v>1230.5</v>
      </c>
      <c r="G33" s="117">
        <f t="shared" si="5"/>
        <v>0</v>
      </c>
      <c r="H33" s="116">
        <f t="shared" si="5"/>
        <v>1250.9699999999998</v>
      </c>
      <c r="I33" s="117">
        <f t="shared" si="5"/>
        <v>2824.7699999999995</v>
      </c>
      <c r="J33" s="118">
        <f t="shared" si="5"/>
        <v>0</v>
      </c>
      <c r="K33" s="117">
        <f t="shared" si="5"/>
        <v>581.49000000000012</v>
      </c>
      <c r="L33" s="117">
        <f t="shared" si="5"/>
        <v>251.68</v>
      </c>
      <c r="M33" s="117">
        <f t="shared" si="5"/>
        <v>1069.8</v>
      </c>
      <c r="N33" s="117">
        <f t="shared" si="5"/>
        <v>291.25000000000006</v>
      </c>
      <c r="O33" s="119">
        <f t="shared" si="5"/>
        <v>716.76</v>
      </c>
      <c r="P33" s="117">
        <f t="shared" si="5"/>
        <v>670.0100000000001</v>
      </c>
      <c r="Q33" s="119">
        <f t="shared" si="5"/>
        <v>1268.5999999999999</v>
      </c>
      <c r="R33" s="119">
        <f t="shared" si="5"/>
        <v>726.44</v>
      </c>
      <c r="S33" s="119">
        <f t="shared" si="5"/>
        <v>3018.0799999999995</v>
      </c>
      <c r="T33" s="117">
        <f t="shared" si="5"/>
        <v>0</v>
      </c>
      <c r="U33" s="119">
        <f t="shared" si="5"/>
        <v>181.95000000000002</v>
      </c>
      <c r="V33" s="119">
        <f t="shared" si="5"/>
        <v>1125.32</v>
      </c>
      <c r="W33" s="117">
        <f t="shared" si="5"/>
        <v>207.63000000000002</v>
      </c>
      <c r="X33" s="119">
        <f t="shared" si="5"/>
        <v>170.31999999999996</v>
      </c>
      <c r="Y33" s="119">
        <f t="shared" si="5"/>
        <v>4728.8999999999996</v>
      </c>
      <c r="Z33" s="119">
        <f t="shared" si="5"/>
        <v>945.97</v>
      </c>
      <c r="AA33" s="119">
        <f t="shared" si="5"/>
        <v>14913.879999999997</v>
      </c>
      <c r="AB33" s="119">
        <f t="shared" si="5"/>
        <v>11918.52</v>
      </c>
      <c r="AC33" s="119">
        <f>SUM(AC21:AC32)</f>
        <v>23756.329999999998</v>
      </c>
      <c r="AD33" s="119">
        <f>SUM(AD21:AD32)</f>
        <v>183.79999999999998</v>
      </c>
      <c r="AE33" s="119"/>
      <c r="AF33" s="119">
        <f>SUM(AF21:AF32)</f>
        <v>28178.880000000001</v>
      </c>
      <c r="AG33" s="119">
        <f>SUM(AG21:AG32)</f>
        <v>41927.760000000002</v>
      </c>
      <c r="AH33" s="119">
        <f>SUM(AH21:AH32)</f>
        <v>52917.45</v>
      </c>
      <c r="AI33" s="119">
        <f>SUM(AI21:AI32)</f>
        <v>0</v>
      </c>
      <c r="AJ33" s="119">
        <f>SUM(AJ21:AJ32)</f>
        <v>18617.91</v>
      </c>
      <c r="AK33" s="119">
        <f t="shared" si="5"/>
        <v>0</v>
      </c>
      <c r="AL33" s="119">
        <f t="shared" si="5"/>
        <v>25497.779999999995</v>
      </c>
      <c r="AM33" s="117">
        <f t="shared" si="5"/>
        <v>105343.48999999999</v>
      </c>
      <c r="AN33" s="117">
        <f t="shared" si="5"/>
        <v>57891.15</v>
      </c>
      <c r="AO33" s="119">
        <f t="shared" si="5"/>
        <v>46955.64</v>
      </c>
      <c r="AP33" s="119">
        <f t="shared" si="5"/>
        <v>69525.539999999994</v>
      </c>
      <c r="AQ33" s="119">
        <f t="shared" si="5"/>
        <v>184845.57</v>
      </c>
      <c r="AR33" s="119">
        <f t="shared" si="5"/>
        <v>29092.2</v>
      </c>
      <c r="AS33" s="119">
        <f t="shared" si="5"/>
        <v>21494.12</v>
      </c>
      <c r="AT33" s="119">
        <f t="shared" si="5"/>
        <v>36809.58</v>
      </c>
      <c r="AU33" s="119">
        <f t="shared" si="5"/>
        <v>0</v>
      </c>
      <c r="AV33" s="119">
        <f t="shared" si="5"/>
        <v>159.95000000000002</v>
      </c>
      <c r="AW33" s="119">
        <f t="shared" si="5"/>
        <v>676.69</v>
      </c>
      <c r="AX33" s="119">
        <f>SUM(AX21:AX32)</f>
        <v>18617.239999999998</v>
      </c>
      <c r="AY33" s="119">
        <f t="shared" si="5"/>
        <v>1452.87</v>
      </c>
      <c r="AZ33" s="133"/>
      <c r="BA33" s="133"/>
      <c r="BB33" s="133"/>
      <c r="BC33" s="120"/>
      <c r="BD33" s="120"/>
    </row>
    <row r="34" spans="1:56" ht="13.5" thickTop="1" x14ac:dyDescent="0.2">
      <c r="A34" s="120"/>
      <c r="B34" s="120" t="str">
        <f t="shared" ref="B34:AY34" si="6">IF(B16=0,"",(B33/B16))</f>
        <v/>
      </c>
      <c r="C34" s="120">
        <f t="shared" si="6"/>
        <v>1.1701012658227847</v>
      </c>
      <c r="D34" s="120" t="str">
        <f t="shared" si="6"/>
        <v/>
      </c>
      <c r="E34" s="120">
        <f t="shared" si="6"/>
        <v>2.3343636363636362</v>
      </c>
      <c r="F34" s="120">
        <f t="shared" si="6"/>
        <v>0.8353699932111337</v>
      </c>
      <c r="G34" s="120" t="str">
        <f t="shared" si="6"/>
        <v/>
      </c>
      <c r="H34" s="120">
        <f t="shared" si="6"/>
        <v>0.8669230769230768</v>
      </c>
      <c r="I34" s="120">
        <f t="shared" si="6"/>
        <v>0.79840870548332377</v>
      </c>
      <c r="J34" s="120" t="str">
        <f t="shared" si="6"/>
        <v/>
      </c>
      <c r="K34" s="120">
        <f t="shared" si="6"/>
        <v>1.0848694029850749</v>
      </c>
      <c r="L34" s="120">
        <f t="shared" si="6"/>
        <v>2.86</v>
      </c>
      <c r="M34" s="120">
        <f t="shared" si="6"/>
        <v>0.8929883138564273</v>
      </c>
      <c r="N34" s="120">
        <f t="shared" si="6"/>
        <v>1.9679054054054057</v>
      </c>
      <c r="O34" s="120">
        <f t="shared" si="6"/>
        <v>0.95823529411764707</v>
      </c>
      <c r="P34" s="120">
        <f t="shared" si="6"/>
        <v>1.3009902912621361</v>
      </c>
      <c r="Q34" s="120">
        <f t="shared" si="6"/>
        <v>0.83132372214941019</v>
      </c>
      <c r="R34" s="120">
        <f t="shared" si="6"/>
        <v>0.96344827586206905</v>
      </c>
      <c r="S34" s="120">
        <f t="shared" si="6"/>
        <v>0.76737350622934131</v>
      </c>
      <c r="T34" s="120" t="str">
        <f t="shared" si="6"/>
        <v/>
      </c>
      <c r="U34" s="120">
        <f t="shared" si="6"/>
        <v>4.2313953488372098</v>
      </c>
      <c r="V34" s="120">
        <f t="shared" si="6"/>
        <v>1.0183891402714931</v>
      </c>
      <c r="W34" s="120">
        <f t="shared" si="6"/>
        <v>4.9435714285714294</v>
      </c>
      <c r="X34" s="120" t="str">
        <f t="shared" si="6"/>
        <v/>
      </c>
      <c r="Y34" s="120">
        <f t="shared" si="6"/>
        <v>0.74435699669447497</v>
      </c>
      <c r="Z34" s="120">
        <f t="shared" si="6"/>
        <v>0.88573970037453187</v>
      </c>
      <c r="AA34" s="120">
        <f t="shared" si="6"/>
        <v>0.70917165953399897</v>
      </c>
      <c r="AB34" s="120">
        <f t="shared" si="6"/>
        <v>0.7278041035661944</v>
      </c>
      <c r="AC34" s="120">
        <f t="shared" si="6"/>
        <v>0.50786347991534297</v>
      </c>
      <c r="AD34" s="120">
        <f t="shared" si="6"/>
        <v>0.65642857142857136</v>
      </c>
      <c r="AE34" s="120">
        <f t="shared" si="6"/>
        <v>0</v>
      </c>
      <c r="AF34" s="120">
        <f t="shared" si="6"/>
        <v>0.51199883714591998</v>
      </c>
      <c r="AG34" s="120">
        <f t="shared" si="6"/>
        <v>0.54984341805020065</v>
      </c>
      <c r="AH34" s="120">
        <f t="shared" si="6"/>
        <v>0.48707199661279038</v>
      </c>
      <c r="AI34" s="120" t="str">
        <f t="shared" si="6"/>
        <v/>
      </c>
      <c r="AJ34" s="120">
        <f t="shared" si="6"/>
        <v>0.68362745098039213</v>
      </c>
      <c r="AK34" s="120" t="str">
        <f t="shared" si="6"/>
        <v/>
      </c>
      <c r="AL34" s="120">
        <f t="shared" si="6"/>
        <v>0.62390574532641663</v>
      </c>
      <c r="AM34" s="120">
        <f t="shared" si="6"/>
        <v>0.70168648295798941</v>
      </c>
      <c r="AN34" s="120">
        <f t="shared" si="6"/>
        <v>0.60814503167249689</v>
      </c>
      <c r="AO34" s="120">
        <f t="shared" si="6"/>
        <v>0.52890480856959421</v>
      </c>
      <c r="AP34" s="120">
        <f t="shared" si="6"/>
        <v>0.49382091184805843</v>
      </c>
      <c r="AQ34" s="120">
        <f t="shared" si="6"/>
        <v>3.0029822594794817</v>
      </c>
      <c r="AR34" s="120">
        <f t="shared" si="6"/>
        <v>0.50954023995095898</v>
      </c>
      <c r="AS34" s="120">
        <f t="shared" si="6"/>
        <v>0.56714214095358717</v>
      </c>
      <c r="AT34" s="120">
        <f t="shared" si="6"/>
        <v>0.54281008066299974</v>
      </c>
      <c r="AU34" s="120" t="str">
        <f t="shared" si="6"/>
        <v/>
      </c>
      <c r="AV34" s="120">
        <f t="shared" si="6"/>
        <v>7.9975000000000005</v>
      </c>
      <c r="AW34" s="120">
        <f t="shared" si="6"/>
        <v>1.0054829123328382</v>
      </c>
      <c r="AX34" s="120">
        <f t="shared" si="6"/>
        <v>0.4807302398843184</v>
      </c>
      <c r="AY34" s="120">
        <f t="shared" si="6"/>
        <v>0.85062646370023409</v>
      </c>
      <c r="AZ34" s="120"/>
      <c r="BA34" s="120"/>
      <c r="BB34" s="120"/>
      <c r="BC34" s="120"/>
      <c r="BD34" s="1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"/>
  <sheetViews>
    <sheetView topLeftCell="AI1" workbookViewId="0">
      <selection activeCell="G9" sqref="G9"/>
    </sheetView>
  </sheetViews>
  <sheetFormatPr defaultRowHeight="12.75" x14ac:dyDescent="0.2"/>
  <cols>
    <col min="3" max="3" width="11.85546875" customWidth="1"/>
    <col min="6" max="6" width="10.5703125" customWidth="1"/>
    <col min="8" max="8" width="10.28515625" customWidth="1"/>
    <col min="9" max="9" width="11.140625" customWidth="1"/>
    <col min="11" max="11" width="10.140625" customWidth="1"/>
    <col min="13" max="13" width="10.85546875" customWidth="1"/>
    <col min="15" max="15" width="10" customWidth="1"/>
    <col min="17" max="17" width="10.85546875" customWidth="1"/>
    <col min="19" max="19" width="10.85546875" customWidth="1"/>
    <col min="22" max="22" width="10.7109375" customWidth="1"/>
    <col min="24" max="25" width="11.5703125" customWidth="1"/>
    <col min="26" max="27" width="11" customWidth="1"/>
    <col min="28" max="28" width="10.42578125" customWidth="1"/>
    <col min="32" max="32" width="10.85546875" customWidth="1"/>
    <col min="33" max="33" width="11.140625" customWidth="1"/>
    <col min="34" max="34" width="10.85546875" customWidth="1"/>
    <col min="36" max="36" width="10.85546875" customWidth="1"/>
    <col min="38" max="38" width="10.5703125" customWidth="1"/>
    <col min="39" max="39" width="11.85546875" customWidth="1"/>
    <col min="40" max="40" width="11.42578125" customWidth="1"/>
    <col min="41" max="41" width="11.28515625" customWidth="1"/>
    <col min="42" max="42" width="13.5703125" customWidth="1"/>
    <col min="43" max="43" width="12.28515625" customWidth="1"/>
    <col min="44" max="44" width="11.85546875" customWidth="1"/>
    <col min="45" max="45" width="10.85546875" customWidth="1"/>
    <col min="46" max="46" width="10.5703125" customWidth="1"/>
    <col min="49" max="49" width="10.85546875" customWidth="1"/>
    <col min="50" max="50" width="10.5703125" customWidth="1"/>
    <col min="51" max="51" width="10.7109375" customWidth="1"/>
    <col min="53" max="53" width="11.5703125" customWidth="1"/>
    <col min="56" max="56" width="10.85546875" customWidth="1"/>
    <col min="57" max="57" width="12.28515625" customWidth="1"/>
  </cols>
  <sheetData>
    <row r="1" spans="1:57" x14ac:dyDescent="0.2">
      <c r="A1" s="1" t="s">
        <v>64</v>
      </c>
      <c r="B1" s="47">
        <v>594386</v>
      </c>
      <c r="C1" s="26">
        <v>1588956</v>
      </c>
      <c r="D1" s="26"/>
      <c r="E1" s="48">
        <v>33513</v>
      </c>
      <c r="F1" s="48">
        <v>33514</v>
      </c>
      <c r="G1" s="48">
        <v>105744</v>
      </c>
      <c r="H1" s="49">
        <v>263686</v>
      </c>
      <c r="I1" s="26">
        <v>263691</v>
      </c>
      <c r="J1" s="48">
        <v>263754</v>
      </c>
      <c r="K1" s="48">
        <v>539243</v>
      </c>
      <c r="L1" s="26">
        <v>539246</v>
      </c>
      <c r="M1" s="26">
        <v>574126</v>
      </c>
      <c r="N1" s="26">
        <v>637887</v>
      </c>
      <c r="O1" s="26">
        <v>637888</v>
      </c>
      <c r="P1" s="26">
        <v>637889</v>
      </c>
      <c r="Q1" s="26">
        <v>637890</v>
      </c>
      <c r="R1" s="26">
        <v>637892</v>
      </c>
      <c r="S1" s="26">
        <v>647598</v>
      </c>
      <c r="T1" s="26">
        <v>647856</v>
      </c>
      <c r="U1" s="26">
        <v>687022</v>
      </c>
      <c r="V1" s="26">
        <v>687023</v>
      </c>
      <c r="W1" s="26">
        <v>687831</v>
      </c>
      <c r="X1" s="26">
        <v>740818</v>
      </c>
      <c r="Y1" s="26">
        <v>740824</v>
      </c>
      <c r="Z1" s="26">
        <v>740838</v>
      </c>
      <c r="AA1" s="26">
        <v>740876</v>
      </c>
      <c r="AB1" s="26">
        <v>740882</v>
      </c>
      <c r="AC1" s="50">
        <v>741089</v>
      </c>
      <c r="AD1" s="50">
        <v>742815</v>
      </c>
      <c r="AE1" s="26">
        <v>742950</v>
      </c>
      <c r="AF1" s="50">
        <v>749325</v>
      </c>
      <c r="AG1" s="51">
        <v>749330</v>
      </c>
      <c r="AH1" s="50">
        <v>749334</v>
      </c>
      <c r="AI1" s="52">
        <v>749339</v>
      </c>
      <c r="AJ1" s="53">
        <v>762803</v>
      </c>
      <c r="AK1" s="54">
        <v>765933</v>
      </c>
      <c r="AL1" s="53">
        <v>868849</v>
      </c>
      <c r="AM1" s="53">
        <v>869044</v>
      </c>
      <c r="AN1" s="53">
        <v>869127</v>
      </c>
      <c r="AO1" s="53">
        <v>869308</v>
      </c>
      <c r="AP1" s="53">
        <v>869309</v>
      </c>
      <c r="AQ1" s="53">
        <v>869446</v>
      </c>
      <c r="AR1" s="53">
        <v>888353</v>
      </c>
      <c r="AS1" s="53">
        <v>888354</v>
      </c>
      <c r="AT1" s="53">
        <v>888355</v>
      </c>
      <c r="AU1" s="48">
        <v>1060882</v>
      </c>
      <c r="AV1" s="26">
        <v>1064052</v>
      </c>
      <c r="AW1" s="7" t="s">
        <v>2</v>
      </c>
      <c r="AX1" s="44">
        <v>672937</v>
      </c>
      <c r="AY1" s="7">
        <v>1342205</v>
      </c>
      <c r="AZ1" s="7">
        <v>3452105</v>
      </c>
      <c r="BA1" s="7">
        <v>9224993</v>
      </c>
      <c r="BB1" s="7">
        <v>10471</v>
      </c>
      <c r="BC1" s="1">
        <v>10511133</v>
      </c>
      <c r="BD1" s="1">
        <v>9985794</v>
      </c>
      <c r="BE1" s="1"/>
    </row>
    <row r="2" spans="1:57" ht="51" x14ac:dyDescent="0.2">
      <c r="A2" s="99">
        <v>2018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86</v>
      </c>
      <c r="BE2" s="105"/>
    </row>
    <row r="3" spans="1:57" x14ac:dyDescent="0.2">
      <c r="A3" s="26" t="s">
        <v>59</v>
      </c>
      <c r="C3">
        <v>153</v>
      </c>
      <c r="E3">
        <v>11</v>
      </c>
      <c r="F3">
        <v>433</v>
      </c>
      <c r="H3">
        <v>493</v>
      </c>
      <c r="I3">
        <v>1404</v>
      </c>
      <c r="K3">
        <v>207</v>
      </c>
      <c r="L3">
        <v>10</v>
      </c>
      <c r="M3">
        <v>489</v>
      </c>
      <c r="N3">
        <v>105</v>
      </c>
      <c r="O3">
        <v>221</v>
      </c>
      <c r="P3">
        <v>156</v>
      </c>
      <c r="Q3">
        <v>882</v>
      </c>
      <c r="R3">
        <v>177</v>
      </c>
      <c r="S3">
        <v>1136</v>
      </c>
      <c r="U3">
        <v>1</v>
      </c>
      <c r="V3">
        <v>449</v>
      </c>
      <c r="W3">
        <v>6</v>
      </c>
      <c r="X3">
        <v>0</v>
      </c>
      <c r="Y3">
        <v>1995</v>
      </c>
      <c r="Z3">
        <v>510</v>
      </c>
      <c r="AA3">
        <v>6270</v>
      </c>
      <c r="AB3">
        <v>2741</v>
      </c>
      <c r="AC3">
        <v>0</v>
      </c>
      <c r="AD3">
        <v>0</v>
      </c>
      <c r="AE3">
        <v>248</v>
      </c>
      <c r="AF3">
        <v>0</v>
      </c>
      <c r="AG3">
        <v>0</v>
      </c>
      <c r="AH3">
        <v>0</v>
      </c>
      <c r="AJ3">
        <v>0</v>
      </c>
      <c r="AL3">
        <v>964</v>
      </c>
      <c r="AM3">
        <v>0</v>
      </c>
      <c r="AN3">
        <v>637</v>
      </c>
      <c r="AO3">
        <v>0</v>
      </c>
      <c r="AP3">
        <v>322</v>
      </c>
      <c r="AQ3">
        <v>588</v>
      </c>
      <c r="AR3">
        <v>0</v>
      </c>
      <c r="AS3">
        <v>421</v>
      </c>
      <c r="AT3">
        <v>5</v>
      </c>
      <c r="AV3">
        <v>2</v>
      </c>
      <c r="AW3">
        <v>373</v>
      </c>
      <c r="AX3">
        <v>0</v>
      </c>
      <c r="AY3">
        <v>601</v>
      </c>
      <c r="AZ3">
        <v>0</v>
      </c>
      <c r="BA3">
        <v>130</v>
      </c>
      <c r="BB3">
        <v>182</v>
      </c>
      <c r="BC3">
        <v>0</v>
      </c>
      <c r="BD3">
        <v>0</v>
      </c>
    </row>
    <row r="4" spans="1:57" x14ac:dyDescent="0.2">
      <c r="A4" s="25" t="s">
        <v>42</v>
      </c>
      <c r="C4">
        <v>142</v>
      </c>
      <c r="E4">
        <v>7</v>
      </c>
      <c r="F4">
        <v>436</v>
      </c>
      <c r="H4">
        <v>204</v>
      </c>
      <c r="I4">
        <v>897</v>
      </c>
      <c r="K4">
        <v>145</v>
      </c>
      <c r="L4">
        <v>9</v>
      </c>
      <c r="M4">
        <v>318</v>
      </c>
      <c r="N4">
        <v>57</v>
      </c>
      <c r="O4">
        <v>251</v>
      </c>
      <c r="P4">
        <v>163</v>
      </c>
      <c r="Q4">
        <v>672</v>
      </c>
      <c r="R4">
        <v>115</v>
      </c>
      <c r="S4">
        <v>683</v>
      </c>
      <c r="U4">
        <v>0</v>
      </c>
      <c r="V4">
        <v>290</v>
      </c>
      <c r="W4">
        <v>6</v>
      </c>
      <c r="X4">
        <v>0</v>
      </c>
      <c r="Y4">
        <v>1442</v>
      </c>
      <c r="Z4">
        <v>362</v>
      </c>
      <c r="AA4">
        <v>4628</v>
      </c>
      <c r="AB4">
        <v>1781</v>
      </c>
      <c r="AC4">
        <v>0</v>
      </c>
      <c r="AD4">
        <v>0</v>
      </c>
      <c r="AE4">
        <v>174</v>
      </c>
      <c r="AF4">
        <v>0</v>
      </c>
      <c r="AG4">
        <v>0</v>
      </c>
      <c r="AH4">
        <v>0</v>
      </c>
      <c r="AJ4">
        <v>0</v>
      </c>
      <c r="AL4">
        <v>891</v>
      </c>
      <c r="AM4">
        <v>298</v>
      </c>
      <c r="AN4">
        <v>518</v>
      </c>
      <c r="AO4">
        <v>0</v>
      </c>
      <c r="AP4">
        <v>0</v>
      </c>
      <c r="AQ4">
        <v>402</v>
      </c>
      <c r="AR4">
        <v>0</v>
      </c>
      <c r="AS4">
        <v>258</v>
      </c>
      <c r="AT4">
        <v>0</v>
      </c>
      <c r="AV4">
        <v>2</v>
      </c>
      <c r="AW4">
        <v>214</v>
      </c>
      <c r="AX4">
        <v>0</v>
      </c>
      <c r="AY4">
        <v>404</v>
      </c>
      <c r="AZ4">
        <v>0</v>
      </c>
      <c r="BA4">
        <v>76</v>
      </c>
      <c r="BB4">
        <v>132</v>
      </c>
      <c r="BC4">
        <v>0</v>
      </c>
      <c r="BD4">
        <v>0</v>
      </c>
    </row>
    <row r="5" spans="1:57" x14ac:dyDescent="0.2">
      <c r="A5" s="25" t="s">
        <v>43</v>
      </c>
      <c r="C5">
        <v>9</v>
      </c>
      <c r="E5">
        <v>7</v>
      </c>
      <c r="F5">
        <v>357</v>
      </c>
      <c r="H5">
        <v>84</v>
      </c>
      <c r="I5">
        <v>408</v>
      </c>
      <c r="K5">
        <v>91</v>
      </c>
      <c r="L5">
        <v>7</v>
      </c>
      <c r="M5">
        <v>247</v>
      </c>
      <c r="N5">
        <v>1</v>
      </c>
      <c r="O5">
        <v>68</v>
      </c>
      <c r="P5">
        <v>107</v>
      </c>
      <c r="Q5">
        <v>108</v>
      </c>
      <c r="R5">
        <v>55</v>
      </c>
      <c r="S5">
        <v>547</v>
      </c>
      <c r="U5">
        <v>0</v>
      </c>
      <c r="V5">
        <v>160</v>
      </c>
      <c r="W5">
        <v>4</v>
      </c>
      <c r="X5">
        <v>0</v>
      </c>
      <c r="Y5">
        <v>643</v>
      </c>
      <c r="Z5">
        <v>93</v>
      </c>
      <c r="AA5">
        <v>3104</v>
      </c>
      <c r="AB5">
        <v>925</v>
      </c>
      <c r="AC5">
        <v>0</v>
      </c>
      <c r="AD5">
        <v>0</v>
      </c>
      <c r="AE5">
        <v>80</v>
      </c>
      <c r="AF5">
        <v>0</v>
      </c>
      <c r="AG5">
        <v>0</v>
      </c>
      <c r="AH5">
        <v>0</v>
      </c>
      <c r="AJ5">
        <v>201</v>
      </c>
      <c r="AL5">
        <v>724</v>
      </c>
      <c r="AM5">
        <v>591</v>
      </c>
      <c r="AN5">
        <v>197</v>
      </c>
      <c r="AO5">
        <v>0</v>
      </c>
      <c r="AP5">
        <v>0</v>
      </c>
      <c r="AQ5">
        <v>320</v>
      </c>
      <c r="AR5">
        <v>0</v>
      </c>
      <c r="AS5">
        <v>85</v>
      </c>
      <c r="AT5">
        <v>0</v>
      </c>
      <c r="AV5">
        <v>3</v>
      </c>
      <c r="AW5">
        <v>86</v>
      </c>
      <c r="AX5">
        <v>0</v>
      </c>
      <c r="AY5">
        <v>242</v>
      </c>
      <c r="AZ5">
        <v>0</v>
      </c>
      <c r="BA5">
        <v>28</v>
      </c>
      <c r="BB5">
        <v>72</v>
      </c>
      <c r="BC5">
        <v>0</v>
      </c>
      <c r="BD5">
        <v>0</v>
      </c>
    </row>
    <row r="6" spans="1:57" x14ac:dyDescent="0.2">
      <c r="A6" s="25" t="s">
        <v>44</v>
      </c>
      <c r="C6">
        <v>8</v>
      </c>
      <c r="E6">
        <v>8</v>
      </c>
      <c r="F6">
        <v>33</v>
      </c>
      <c r="H6">
        <v>13</v>
      </c>
      <c r="I6">
        <v>421</v>
      </c>
      <c r="K6">
        <v>69</v>
      </c>
      <c r="L6">
        <v>8</v>
      </c>
      <c r="M6">
        <v>83</v>
      </c>
      <c r="N6">
        <v>1</v>
      </c>
      <c r="O6">
        <v>75</v>
      </c>
      <c r="P6">
        <v>89</v>
      </c>
      <c r="Q6">
        <v>98</v>
      </c>
      <c r="R6">
        <v>38</v>
      </c>
      <c r="S6">
        <v>444</v>
      </c>
      <c r="U6">
        <v>0</v>
      </c>
      <c r="V6">
        <v>92</v>
      </c>
      <c r="W6">
        <v>5</v>
      </c>
      <c r="X6">
        <v>0</v>
      </c>
      <c r="Y6">
        <v>545</v>
      </c>
      <c r="Z6">
        <v>47</v>
      </c>
      <c r="AA6">
        <v>2566</v>
      </c>
      <c r="AB6">
        <v>1005</v>
      </c>
      <c r="AC6">
        <v>0</v>
      </c>
      <c r="AD6">
        <v>0</v>
      </c>
      <c r="AE6">
        <v>44</v>
      </c>
      <c r="AF6">
        <v>0</v>
      </c>
      <c r="AG6">
        <v>0</v>
      </c>
      <c r="AH6">
        <v>0</v>
      </c>
      <c r="AJ6">
        <v>0</v>
      </c>
      <c r="AL6">
        <v>545</v>
      </c>
      <c r="AM6">
        <v>299</v>
      </c>
      <c r="AN6">
        <v>120</v>
      </c>
      <c r="AO6">
        <v>0</v>
      </c>
      <c r="AP6">
        <v>0</v>
      </c>
      <c r="AQ6">
        <v>328</v>
      </c>
      <c r="AR6">
        <v>0</v>
      </c>
      <c r="AS6">
        <v>81</v>
      </c>
      <c r="AT6">
        <v>0</v>
      </c>
      <c r="AV6">
        <v>2</v>
      </c>
      <c r="AW6">
        <v>71</v>
      </c>
      <c r="AX6">
        <v>0</v>
      </c>
      <c r="AY6">
        <v>229</v>
      </c>
      <c r="AZ6">
        <v>0</v>
      </c>
      <c r="BA6">
        <v>32</v>
      </c>
      <c r="BB6">
        <v>55</v>
      </c>
      <c r="BC6">
        <v>0</v>
      </c>
      <c r="BD6">
        <v>0</v>
      </c>
    </row>
    <row r="7" spans="1:57" x14ac:dyDescent="0.2">
      <c r="A7" s="25" t="s">
        <v>45</v>
      </c>
      <c r="C7">
        <v>7</v>
      </c>
      <c r="E7">
        <v>5</v>
      </c>
      <c r="F7">
        <v>0</v>
      </c>
      <c r="H7">
        <v>9</v>
      </c>
      <c r="I7">
        <v>72</v>
      </c>
      <c r="K7">
        <v>0</v>
      </c>
      <c r="L7">
        <v>6</v>
      </c>
      <c r="M7">
        <v>7</v>
      </c>
      <c r="N7">
        <v>0</v>
      </c>
      <c r="O7">
        <v>0</v>
      </c>
      <c r="P7">
        <v>37</v>
      </c>
      <c r="Q7">
        <v>0</v>
      </c>
      <c r="R7">
        <v>4</v>
      </c>
      <c r="S7">
        <v>108</v>
      </c>
      <c r="U7">
        <v>5</v>
      </c>
      <c r="V7">
        <v>5</v>
      </c>
      <c r="W7">
        <v>3</v>
      </c>
      <c r="X7">
        <v>0</v>
      </c>
      <c r="Y7">
        <v>23</v>
      </c>
      <c r="Z7">
        <v>1</v>
      </c>
      <c r="AA7">
        <v>316</v>
      </c>
      <c r="AB7">
        <v>274</v>
      </c>
      <c r="AC7">
        <v>2</v>
      </c>
      <c r="AD7">
        <v>0</v>
      </c>
      <c r="AE7">
        <v>4</v>
      </c>
      <c r="AF7">
        <v>2</v>
      </c>
      <c r="AG7">
        <v>0</v>
      </c>
      <c r="AH7">
        <v>0</v>
      </c>
      <c r="AJ7">
        <v>0</v>
      </c>
      <c r="AL7">
        <v>255</v>
      </c>
      <c r="AM7">
        <v>25</v>
      </c>
      <c r="AN7">
        <v>0</v>
      </c>
      <c r="AO7">
        <v>0</v>
      </c>
      <c r="AP7">
        <v>7</v>
      </c>
      <c r="AQ7">
        <v>90</v>
      </c>
      <c r="AR7">
        <v>6</v>
      </c>
      <c r="AS7">
        <v>8</v>
      </c>
      <c r="AT7">
        <v>0</v>
      </c>
      <c r="AV7">
        <v>2</v>
      </c>
      <c r="AW7">
        <v>1</v>
      </c>
      <c r="AX7">
        <v>0</v>
      </c>
      <c r="AY7">
        <v>0</v>
      </c>
      <c r="AZ7">
        <v>0</v>
      </c>
      <c r="BA7">
        <v>5</v>
      </c>
      <c r="BB7">
        <v>4</v>
      </c>
      <c r="BC7">
        <v>0</v>
      </c>
      <c r="BD7">
        <v>0</v>
      </c>
    </row>
    <row r="8" spans="1:57" x14ac:dyDescent="0.2">
      <c r="A8" s="25" t="s">
        <v>46</v>
      </c>
      <c r="C8">
        <v>9</v>
      </c>
      <c r="E8">
        <v>5</v>
      </c>
      <c r="F8">
        <v>0</v>
      </c>
      <c r="H8">
        <v>10</v>
      </c>
      <c r="I8">
        <v>0</v>
      </c>
      <c r="K8">
        <v>0</v>
      </c>
      <c r="L8">
        <v>5</v>
      </c>
      <c r="M8">
        <v>8</v>
      </c>
      <c r="N8">
        <v>0</v>
      </c>
      <c r="O8">
        <v>0</v>
      </c>
      <c r="P8">
        <v>7</v>
      </c>
      <c r="Q8">
        <v>3</v>
      </c>
      <c r="R8">
        <v>4</v>
      </c>
      <c r="S8">
        <v>0</v>
      </c>
      <c r="U8">
        <v>9</v>
      </c>
      <c r="V8">
        <v>6</v>
      </c>
      <c r="W8">
        <v>2</v>
      </c>
      <c r="X8">
        <v>0</v>
      </c>
      <c r="Y8">
        <v>25</v>
      </c>
      <c r="Z8">
        <v>0</v>
      </c>
      <c r="AA8">
        <v>171</v>
      </c>
      <c r="AB8">
        <v>326</v>
      </c>
      <c r="AC8">
        <v>0</v>
      </c>
      <c r="AD8">
        <v>0</v>
      </c>
      <c r="AE8">
        <v>10</v>
      </c>
      <c r="AF8">
        <v>0</v>
      </c>
      <c r="AG8">
        <v>0</v>
      </c>
      <c r="AH8">
        <v>0</v>
      </c>
      <c r="AJ8">
        <v>0</v>
      </c>
      <c r="AL8">
        <v>214</v>
      </c>
      <c r="AM8">
        <v>3</v>
      </c>
      <c r="AN8">
        <v>0</v>
      </c>
      <c r="AO8">
        <v>0</v>
      </c>
      <c r="AP8">
        <v>0</v>
      </c>
      <c r="AQ8">
        <v>53</v>
      </c>
      <c r="AR8">
        <v>0</v>
      </c>
      <c r="AS8">
        <v>0</v>
      </c>
      <c r="AT8">
        <v>0</v>
      </c>
      <c r="AV8">
        <v>2</v>
      </c>
      <c r="AW8">
        <v>94</v>
      </c>
      <c r="AX8">
        <v>0</v>
      </c>
      <c r="AY8">
        <v>0</v>
      </c>
      <c r="AZ8">
        <v>0</v>
      </c>
      <c r="BA8">
        <v>0</v>
      </c>
      <c r="BB8">
        <v>3</v>
      </c>
      <c r="BC8">
        <v>0</v>
      </c>
      <c r="BD8">
        <v>0</v>
      </c>
    </row>
    <row r="9" spans="1:57" x14ac:dyDescent="0.2">
      <c r="A9" s="25" t="s">
        <v>47</v>
      </c>
      <c r="C9">
        <v>7</v>
      </c>
      <c r="E9">
        <v>1</v>
      </c>
      <c r="F9">
        <v>0</v>
      </c>
      <c r="H9">
        <v>10</v>
      </c>
      <c r="I9">
        <v>0</v>
      </c>
      <c r="K9">
        <v>0</v>
      </c>
      <c r="L9">
        <v>6</v>
      </c>
      <c r="M9">
        <v>8</v>
      </c>
      <c r="N9">
        <v>1</v>
      </c>
      <c r="O9">
        <v>0</v>
      </c>
      <c r="P9">
        <v>6</v>
      </c>
      <c r="Q9">
        <v>0</v>
      </c>
      <c r="R9">
        <v>3</v>
      </c>
      <c r="S9">
        <v>0</v>
      </c>
      <c r="U9">
        <v>8</v>
      </c>
      <c r="V9">
        <v>4</v>
      </c>
      <c r="W9">
        <v>3</v>
      </c>
      <c r="X9">
        <v>0</v>
      </c>
      <c r="Y9">
        <v>23</v>
      </c>
      <c r="Z9">
        <v>0</v>
      </c>
      <c r="AA9">
        <v>161</v>
      </c>
      <c r="AB9">
        <v>333</v>
      </c>
      <c r="AC9">
        <v>0</v>
      </c>
      <c r="AD9">
        <v>0</v>
      </c>
      <c r="AE9">
        <v>16</v>
      </c>
      <c r="AF9">
        <v>0</v>
      </c>
      <c r="AG9">
        <v>0</v>
      </c>
      <c r="AH9">
        <v>0</v>
      </c>
      <c r="AJ9">
        <v>0</v>
      </c>
      <c r="AL9">
        <v>207</v>
      </c>
      <c r="AM9">
        <v>0</v>
      </c>
      <c r="AN9">
        <v>4</v>
      </c>
      <c r="AO9">
        <v>0</v>
      </c>
      <c r="AP9">
        <v>0</v>
      </c>
      <c r="AQ9">
        <v>13</v>
      </c>
      <c r="AR9">
        <v>0</v>
      </c>
      <c r="AS9">
        <v>0</v>
      </c>
      <c r="AT9">
        <v>0</v>
      </c>
      <c r="AV9">
        <v>2</v>
      </c>
      <c r="AW9">
        <v>1</v>
      </c>
      <c r="AX9">
        <v>4</v>
      </c>
      <c r="AY9">
        <v>0</v>
      </c>
      <c r="AZ9">
        <v>0</v>
      </c>
      <c r="BA9">
        <v>0</v>
      </c>
      <c r="BB9">
        <v>3</v>
      </c>
      <c r="BC9">
        <v>0</v>
      </c>
      <c r="BD9">
        <v>6</v>
      </c>
    </row>
    <row r="10" spans="1:57" x14ac:dyDescent="0.2">
      <c r="A10" s="25" t="s">
        <v>48</v>
      </c>
      <c r="C10">
        <v>15</v>
      </c>
      <c r="E10">
        <v>0</v>
      </c>
      <c r="F10">
        <v>0</v>
      </c>
      <c r="H10">
        <v>10</v>
      </c>
      <c r="I10">
        <v>0</v>
      </c>
      <c r="K10">
        <v>0</v>
      </c>
      <c r="L10">
        <v>7</v>
      </c>
      <c r="M10">
        <v>6</v>
      </c>
      <c r="N10">
        <v>0</v>
      </c>
      <c r="O10">
        <v>1</v>
      </c>
      <c r="P10">
        <v>6</v>
      </c>
      <c r="Q10">
        <v>0</v>
      </c>
      <c r="R10">
        <v>4</v>
      </c>
      <c r="S10">
        <v>62</v>
      </c>
      <c r="U10">
        <v>9</v>
      </c>
      <c r="V10">
        <v>5</v>
      </c>
      <c r="W10">
        <v>2</v>
      </c>
      <c r="X10">
        <v>0</v>
      </c>
      <c r="Y10">
        <v>5</v>
      </c>
      <c r="Z10">
        <v>0</v>
      </c>
      <c r="AA10">
        <v>154</v>
      </c>
      <c r="AB10">
        <v>323</v>
      </c>
      <c r="AC10">
        <v>90</v>
      </c>
      <c r="AD10">
        <v>0</v>
      </c>
      <c r="AE10">
        <v>23</v>
      </c>
      <c r="AF10">
        <v>19</v>
      </c>
      <c r="AG10">
        <v>20</v>
      </c>
      <c r="AH10">
        <v>12</v>
      </c>
      <c r="AJ10">
        <v>1</v>
      </c>
      <c r="AL10">
        <v>7445</v>
      </c>
      <c r="AM10">
        <v>42</v>
      </c>
      <c r="AN10">
        <v>995</v>
      </c>
      <c r="AO10">
        <v>18262</v>
      </c>
      <c r="AP10">
        <v>13</v>
      </c>
      <c r="AQ10">
        <v>17</v>
      </c>
      <c r="AR10">
        <v>869</v>
      </c>
      <c r="AS10">
        <v>1</v>
      </c>
      <c r="AT10">
        <v>12</v>
      </c>
      <c r="AV10">
        <v>4</v>
      </c>
      <c r="AW10">
        <v>5</v>
      </c>
      <c r="AX10">
        <v>175</v>
      </c>
      <c r="AY10">
        <v>0</v>
      </c>
      <c r="AZ10">
        <v>0</v>
      </c>
      <c r="BA10">
        <v>5501</v>
      </c>
      <c r="BB10">
        <v>2</v>
      </c>
      <c r="BC10">
        <v>0</v>
      </c>
      <c r="BD10">
        <v>3</v>
      </c>
    </row>
    <row r="11" spans="1:57" x14ac:dyDescent="0.2">
      <c r="A11" s="25" t="s">
        <v>49</v>
      </c>
      <c r="C11">
        <v>19</v>
      </c>
      <c r="E11">
        <v>0</v>
      </c>
      <c r="F11">
        <v>0</v>
      </c>
      <c r="H11">
        <v>9</v>
      </c>
      <c r="I11">
        <v>0</v>
      </c>
      <c r="K11">
        <v>0</v>
      </c>
      <c r="L11">
        <v>7</v>
      </c>
      <c r="M11">
        <v>8</v>
      </c>
      <c r="N11">
        <v>0</v>
      </c>
      <c r="O11">
        <v>40</v>
      </c>
      <c r="P11">
        <v>6</v>
      </c>
      <c r="Q11">
        <v>96</v>
      </c>
      <c r="R11">
        <v>4</v>
      </c>
      <c r="S11">
        <v>484</v>
      </c>
      <c r="U11">
        <v>11</v>
      </c>
      <c r="V11">
        <v>6</v>
      </c>
      <c r="W11">
        <v>3</v>
      </c>
      <c r="X11">
        <v>0</v>
      </c>
      <c r="Y11">
        <v>0</v>
      </c>
      <c r="Z11">
        <v>0</v>
      </c>
      <c r="AA11">
        <v>181</v>
      </c>
      <c r="AB11">
        <v>1125</v>
      </c>
      <c r="AC11">
        <v>0</v>
      </c>
      <c r="AD11">
        <v>0</v>
      </c>
      <c r="AE11">
        <v>34</v>
      </c>
      <c r="AF11">
        <v>32568</v>
      </c>
      <c r="AG11">
        <v>28101</v>
      </c>
      <c r="AH11">
        <v>75194</v>
      </c>
      <c r="AJ11">
        <v>20793</v>
      </c>
      <c r="AL11">
        <v>36270</v>
      </c>
      <c r="AM11">
        <v>39227</v>
      </c>
      <c r="AN11">
        <v>51129</v>
      </c>
      <c r="AO11">
        <v>6587</v>
      </c>
      <c r="AP11">
        <v>52741</v>
      </c>
      <c r="AQ11">
        <v>19</v>
      </c>
      <c r="AR11">
        <v>43288</v>
      </c>
      <c r="AS11">
        <v>26786</v>
      </c>
      <c r="AT11">
        <v>17183</v>
      </c>
      <c r="AV11">
        <v>7</v>
      </c>
      <c r="AW11">
        <v>3</v>
      </c>
      <c r="AX11">
        <v>31502</v>
      </c>
      <c r="AY11">
        <v>0</v>
      </c>
      <c r="AZ11">
        <v>0</v>
      </c>
      <c r="BA11">
        <v>107794</v>
      </c>
      <c r="BB11">
        <v>3</v>
      </c>
      <c r="BC11">
        <v>0</v>
      </c>
      <c r="BD11">
        <v>55204</v>
      </c>
    </row>
    <row r="12" spans="1:57" x14ac:dyDescent="0.2">
      <c r="A12" s="25" t="s">
        <v>50</v>
      </c>
      <c r="C12">
        <v>21</v>
      </c>
      <c r="E12">
        <v>0</v>
      </c>
      <c r="F12">
        <v>3</v>
      </c>
      <c r="H12">
        <v>9</v>
      </c>
      <c r="I12">
        <v>103</v>
      </c>
      <c r="K12">
        <v>27</v>
      </c>
      <c r="L12">
        <v>8</v>
      </c>
      <c r="M12">
        <v>9</v>
      </c>
      <c r="N12">
        <v>0</v>
      </c>
      <c r="O12">
        <v>198</v>
      </c>
      <c r="P12">
        <v>5</v>
      </c>
      <c r="Q12">
        <v>413</v>
      </c>
      <c r="R12">
        <v>3</v>
      </c>
      <c r="S12">
        <v>471</v>
      </c>
      <c r="U12">
        <v>12</v>
      </c>
      <c r="V12">
        <v>36</v>
      </c>
      <c r="W12">
        <v>2</v>
      </c>
      <c r="X12">
        <v>0</v>
      </c>
      <c r="Y12">
        <v>244</v>
      </c>
      <c r="Z12">
        <v>32</v>
      </c>
      <c r="AA12">
        <v>1583</v>
      </c>
      <c r="AB12">
        <v>1340</v>
      </c>
      <c r="AC12">
        <v>0</v>
      </c>
      <c r="AD12">
        <v>0</v>
      </c>
      <c r="AE12">
        <v>72</v>
      </c>
      <c r="AF12">
        <v>30109</v>
      </c>
      <c r="AG12">
        <v>27813</v>
      </c>
      <c r="AH12">
        <v>49519</v>
      </c>
      <c r="AJ12">
        <v>21743</v>
      </c>
      <c r="AL12">
        <v>5269</v>
      </c>
      <c r="AM12">
        <v>137592</v>
      </c>
      <c r="AN12">
        <v>42688</v>
      </c>
      <c r="AO12">
        <v>49672</v>
      </c>
      <c r="AP12">
        <v>80006</v>
      </c>
      <c r="AQ12">
        <v>27193</v>
      </c>
      <c r="AR12">
        <v>29169</v>
      </c>
      <c r="AS12">
        <v>5273</v>
      </c>
      <c r="AT12">
        <v>42190</v>
      </c>
      <c r="AV12">
        <v>5</v>
      </c>
      <c r="AW12">
        <v>1</v>
      </c>
      <c r="AX12">
        <v>12634</v>
      </c>
      <c r="AY12">
        <v>53</v>
      </c>
      <c r="AZ12">
        <v>0</v>
      </c>
      <c r="BA12">
        <v>83808</v>
      </c>
      <c r="BB12">
        <v>32</v>
      </c>
      <c r="BC12">
        <v>0</v>
      </c>
      <c r="BD12">
        <v>44607</v>
      </c>
    </row>
    <row r="13" spans="1:57" x14ac:dyDescent="0.2">
      <c r="A13" s="25" t="s">
        <v>51</v>
      </c>
      <c r="C13">
        <v>68</v>
      </c>
      <c r="E13">
        <v>0</v>
      </c>
      <c r="F13">
        <v>206</v>
      </c>
      <c r="H13">
        <v>90</v>
      </c>
      <c r="I13">
        <v>789</v>
      </c>
      <c r="K13">
        <v>159</v>
      </c>
      <c r="L13">
        <v>10</v>
      </c>
      <c r="M13">
        <v>250</v>
      </c>
      <c r="N13">
        <v>0</v>
      </c>
      <c r="O13">
        <v>0</v>
      </c>
      <c r="P13">
        <v>7</v>
      </c>
      <c r="Q13">
        <v>0</v>
      </c>
      <c r="R13">
        <v>15</v>
      </c>
      <c r="S13">
        <v>986</v>
      </c>
      <c r="U13">
        <v>16</v>
      </c>
      <c r="V13">
        <v>382</v>
      </c>
      <c r="W13">
        <v>4</v>
      </c>
      <c r="X13">
        <v>0</v>
      </c>
      <c r="Y13">
        <v>1494</v>
      </c>
      <c r="Z13">
        <v>196</v>
      </c>
      <c r="AA13">
        <v>5043</v>
      </c>
      <c r="AB13">
        <v>1087</v>
      </c>
      <c r="AC13">
        <v>0</v>
      </c>
      <c r="AD13">
        <v>0</v>
      </c>
      <c r="AE13">
        <v>214</v>
      </c>
      <c r="AF13">
        <v>20573</v>
      </c>
      <c r="AG13">
        <v>11090</v>
      </c>
      <c r="AH13">
        <v>21709</v>
      </c>
      <c r="AJ13">
        <v>6607</v>
      </c>
      <c r="AL13">
        <v>1390</v>
      </c>
      <c r="AM13">
        <v>57056</v>
      </c>
      <c r="AN13">
        <v>5945</v>
      </c>
      <c r="AO13">
        <v>20041</v>
      </c>
      <c r="AP13">
        <v>35968</v>
      </c>
      <c r="AQ13">
        <v>39377</v>
      </c>
      <c r="AR13">
        <v>0</v>
      </c>
      <c r="AS13">
        <v>197</v>
      </c>
      <c r="AT13">
        <v>6193</v>
      </c>
      <c r="AV13">
        <v>20</v>
      </c>
      <c r="AW13">
        <v>108</v>
      </c>
      <c r="AX13">
        <v>5432</v>
      </c>
      <c r="AY13">
        <v>347</v>
      </c>
      <c r="AZ13">
        <v>0</v>
      </c>
      <c r="BA13">
        <v>15557</v>
      </c>
      <c r="BB13">
        <v>87</v>
      </c>
      <c r="BC13">
        <v>0</v>
      </c>
      <c r="BD13">
        <v>10316</v>
      </c>
    </row>
    <row r="14" spans="1:57" x14ac:dyDescent="0.2">
      <c r="A14" s="25" t="s">
        <v>52</v>
      </c>
      <c r="C14">
        <v>124</v>
      </c>
      <c r="E14">
        <v>0</v>
      </c>
      <c r="F14">
        <v>471</v>
      </c>
      <c r="H14">
        <v>337</v>
      </c>
      <c r="I14">
        <v>896</v>
      </c>
      <c r="K14">
        <v>200</v>
      </c>
      <c r="L14">
        <v>12</v>
      </c>
      <c r="M14">
        <v>403</v>
      </c>
      <c r="N14">
        <v>1</v>
      </c>
      <c r="O14">
        <v>335</v>
      </c>
      <c r="P14">
        <v>117</v>
      </c>
      <c r="Q14">
        <v>422</v>
      </c>
      <c r="R14">
        <v>96</v>
      </c>
      <c r="S14">
        <v>754</v>
      </c>
      <c r="U14">
        <v>18</v>
      </c>
      <c r="V14">
        <v>439</v>
      </c>
      <c r="W14">
        <v>5</v>
      </c>
      <c r="X14">
        <v>0</v>
      </c>
      <c r="Y14">
        <v>2041</v>
      </c>
      <c r="Z14">
        <v>363</v>
      </c>
      <c r="AA14">
        <v>6130</v>
      </c>
      <c r="AC14">
        <v>0</v>
      </c>
      <c r="AD14">
        <v>0</v>
      </c>
      <c r="AE14">
        <v>161</v>
      </c>
      <c r="AF14">
        <v>4919</v>
      </c>
      <c r="AG14">
        <v>6903</v>
      </c>
      <c r="AH14">
        <v>11310</v>
      </c>
      <c r="AJ14">
        <v>6391</v>
      </c>
      <c r="AL14">
        <v>2515</v>
      </c>
      <c r="AM14">
        <v>48946</v>
      </c>
      <c r="AN14">
        <v>2440</v>
      </c>
      <c r="AO14">
        <v>936</v>
      </c>
      <c r="AP14">
        <v>11831</v>
      </c>
      <c r="AQ14">
        <v>12502</v>
      </c>
      <c r="AR14">
        <v>0</v>
      </c>
      <c r="AS14">
        <v>3076</v>
      </c>
      <c r="AT14">
        <v>1630</v>
      </c>
      <c r="AV14">
        <v>2</v>
      </c>
      <c r="AW14">
        <v>232</v>
      </c>
      <c r="AX14">
        <v>1178</v>
      </c>
      <c r="AY14">
        <v>509</v>
      </c>
      <c r="AZ14">
        <v>0</v>
      </c>
      <c r="BA14">
        <v>10824</v>
      </c>
      <c r="BB14">
        <v>135</v>
      </c>
      <c r="BC14">
        <v>0</v>
      </c>
      <c r="BD14">
        <v>0</v>
      </c>
    </row>
    <row r="15" spans="1:57" ht="13.5" thickBot="1" x14ac:dyDescent="0.25">
      <c r="A15" s="92" t="s">
        <v>58</v>
      </c>
      <c r="B15" s="93">
        <f>SUM(B3:B14)/10</f>
        <v>0</v>
      </c>
      <c r="C15" s="93">
        <f>SUM(B20:B31)/10</f>
        <v>0</v>
      </c>
      <c r="D15" s="93"/>
      <c r="E15" s="94">
        <f>SUM(E3:E14)/10</f>
        <v>4.4000000000000004</v>
      </c>
      <c r="F15" s="94">
        <v>0</v>
      </c>
      <c r="G15" s="95">
        <f>SUM(G3:G14)/10</f>
        <v>0</v>
      </c>
      <c r="H15" s="94">
        <f>SUM(H3:H14)/10</f>
        <v>127.8</v>
      </c>
      <c r="I15" s="94">
        <v>0</v>
      </c>
      <c r="J15" s="94"/>
      <c r="K15" s="94">
        <f t="shared" ref="K15:S15" si="0">SUM(K3:K14)/10</f>
        <v>89.8</v>
      </c>
      <c r="L15" s="94">
        <f t="shared" si="0"/>
        <v>9.5</v>
      </c>
      <c r="M15" s="94">
        <f t="shared" si="0"/>
        <v>183.6</v>
      </c>
      <c r="N15" s="94">
        <f t="shared" si="0"/>
        <v>16.600000000000001</v>
      </c>
      <c r="O15" s="94">
        <f t="shared" si="0"/>
        <v>118.9</v>
      </c>
      <c r="P15" s="94">
        <f t="shared" si="0"/>
        <v>70.599999999999994</v>
      </c>
      <c r="Q15" s="94">
        <f t="shared" si="0"/>
        <v>269.39999999999998</v>
      </c>
      <c r="R15" s="94">
        <f t="shared" si="0"/>
        <v>51.8</v>
      </c>
      <c r="S15" s="94">
        <f t="shared" si="0"/>
        <v>567.5</v>
      </c>
      <c r="T15" s="94"/>
      <c r="U15" s="94">
        <f t="shared" ref="U15:AE15" si="1">SUM(U3:U14)/10</f>
        <v>8.9</v>
      </c>
      <c r="V15" s="94">
        <f t="shared" si="1"/>
        <v>187.4</v>
      </c>
      <c r="W15" s="94">
        <f t="shared" si="1"/>
        <v>4.5</v>
      </c>
      <c r="X15" s="94">
        <f t="shared" si="1"/>
        <v>0</v>
      </c>
      <c r="Y15" s="94">
        <f t="shared" si="1"/>
        <v>848</v>
      </c>
      <c r="Z15" s="94">
        <f t="shared" si="1"/>
        <v>160.4</v>
      </c>
      <c r="AA15" s="94">
        <f t="shared" si="1"/>
        <v>3030.7</v>
      </c>
      <c r="AB15" s="94">
        <f t="shared" si="1"/>
        <v>1126</v>
      </c>
      <c r="AC15" s="94">
        <f t="shared" si="1"/>
        <v>9.1999999999999993</v>
      </c>
      <c r="AD15" s="94">
        <f t="shared" si="1"/>
        <v>0</v>
      </c>
      <c r="AE15" s="94">
        <f t="shared" si="1"/>
        <v>108</v>
      </c>
      <c r="AF15" s="94">
        <f>SUM(AF3:AF14)/10</f>
        <v>8819</v>
      </c>
      <c r="AG15" s="94">
        <f>SUM(AG3:AG14)/10</f>
        <v>7392.7</v>
      </c>
      <c r="AH15" s="94">
        <f>SUM(AH3:AH14)/10</f>
        <v>15774.4</v>
      </c>
      <c r="AI15" s="94">
        <f>SUM(AI3:AI14)/10</f>
        <v>0</v>
      </c>
      <c r="AJ15" s="94">
        <f>SUM(AJ3:AJ14)/10</f>
        <v>5573.6</v>
      </c>
      <c r="AK15" s="94"/>
      <c r="AL15" s="94">
        <f t="shared" ref="AL15:BC15" si="2">SUM(AL3:AL14)/10</f>
        <v>5668.9</v>
      </c>
      <c r="AM15" s="94">
        <f t="shared" si="2"/>
        <v>28407.9</v>
      </c>
      <c r="AN15" s="94">
        <f t="shared" si="2"/>
        <v>10467.299999999999</v>
      </c>
      <c r="AO15" s="94">
        <f t="shared" si="2"/>
        <v>9549.7999999999993</v>
      </c>
      <c r="AP15" s="94">
        <f t="shared" si="2"/>
        <v>18088.8</v>
      </c>
      <c r="AQ15" s="94">
        <f t="shared" si="2"/>
        <v>8090.2</v>
      </c>
      <c r="AR15" s="94">
        <f t="shared" si="2"/>
        <v>7333.2</v>
      </c>
      <c r="AS15" s="96">
        <f t="shared" si="2"/>
        <v>3618.6</v>
      </c>
      <c r="AT15" s="94">
        <f t="shared" si="2"/>
        <v>6721.3</v>
      </c>
      <c r="AU15" s="94">
        <f t="shared" si="2"/>
        <v>0</v>
      </c>
      <c r="AV15" s="94">
        <f t="shared" si="2"/>
        <v>5.3</v>
      </c>
      <c r="AW15" s="94">
        <f t="shared" si="2"/>
        <v>118.9</v>
      </c>
      <c r="AX15" s="94">
        <f t="shared" si="2"/>
        <v>5092.5</v>
      </c>
      <c r="AY15" s="94">
        <f t="shared" si="2"/>
        <v>238.5</v>
      </c>
      <c r="AZ15" s="94">
        <f t="shared" si="2"/>
        <v>0</v>
      </c>
      <c r="BA15" s="94">
        <f t="shared" si="2"/>
        <v>22375.5</v>
      </c>
      <c r="BB15" s="94">
        <f t="shared" si="2"/>
        <v>71</v>
      </c>
      <c r="BC15" s="94">
        <f t="shared" si="2"/>
        <v>0</v>
      </c>
      <c r="BD15" s="94">
        <f>SUM(BD3:BD14)/10</f>
        <v>11013.6</v>
      </c>
      <c r="BE15" s="97">
        <f>SUM(B15:BC15)</f>
        <v>170400.4</v>
      </c>
    </row>
    <row r="16" spans="1:57" ht="13.5" thickTop="1" x14ac:dyDescent="0.2">
      <c r="A16" s="92"/>
      <c r="B16" s="134">
        <f>SUM(B3:B14)</f>
        <v>0</v>
      </c>
      <c r="C16" s="134">
        <f t="shared" ref="C16:AE16" si="3">SUM(C3:C14)</f>
        <v>582</v>
      </c>
      <c r="D16" s="134">
        <f t="shared" si="3"/>
        <v>0</v>
      </c>
      <c r="E16" s="134">
        <f>SUM(E3:E14)</f>
        <v>44</v>
      </c>
      <c r="F16" s="134">
        <f t="shared" si="3"/>
        <v>1939</v>
      </c>
      <c r="G16" s="134">
        <f t="shared" si="3"/>
        <v>0</v>
      </c>
      <c r="H16" s="134">
        <f t="shared" si="3"/>
        <v>1278</v>
      </c>
      <c r="I16" s="134">
        <f t="shared" si="3"/>
        <v>4990</v>
      </c>
      <c r="J16" s="134">
        <f t="shared" si="3"/>
        <v>0</v>
      </c>
      <c r="K16" s="134">
        <f t="shared" si="3"/>
        <v>898</v>
      </c>
      <c r="L16" s="134">
        <f t="shared" si="3"/>
        <v>95</v>
      </c>
      <c r="M16" s="134">
        <f t="shared" si="3"/>
        <v>1836</v>
      </c>
      <c r="N16" s="134">
        <f t="shared" si="3"/>
        <v>166</v>
      </c>
      <c r="O16" s="134">
        <f t="shared" si="3"/>
        <v>1189</v>
      </c>
      <c r="P16" s="134">
        <f t="shared" si="3"/>
        <v>706</v>
      </c>
      <c r="Q16" s="134">
        <f t="shared" si="3"/>
        <v>2694</v>
      </c>
      <c r="R16" s="134">
        <f t="shared" si="3"/>
        <v>518</v>
      </c>
      <c r="S16" s="134">
        <f t="shared" si="3"/>
        <v>5675</v>
      </c>
      <c r="T16" s="134">
        <f t="shared" si="3"/>
        <v>0</v>
      </c>
      <c r="U16" s="134">
        <f t="shared" si="3"/>
        <v>89</v>
      </c>
      <c r="V16" s="134">
        <f t="shared" si="3"/>
        <v>1874</v>
      </c>
      <c r="W16" s="134">
        <f t="shared" si="3"/>
        <v>45</v>
      </c>
      <c r="X16" s="134">
        <f t="shared" si="3"/>
        <v>0</v>
      </c>
      <c r="Y16" s="134">
        <f t="shared" si="3"/>
        <v>8480</v>
      </c>
      <c r="Z16" s="134">
        <f t="shared" si="3"/>
        <v>1604</v>
      </c>
      <c r="AA16" s="134">
        <f t="shared" si="3"/>
        <v>30307</v>
      </c>
      <c r="AB16" s="134">
        <f t="shared" si="3"/>
        <v>11260</v>
      </c>
      <c r="AC16" s="134">
        <f t="shared" si="3"/>
        <v>92</v>
      </c>
      <c r="AD16" s="134">
        <f t="shared" si="3"/>
        <v>0</v>
      </c>
      <c r="AE16" s="134">
        <f t="shared" si="3"/>
        <v>1080</v>
      </c>
      <c r="AF16" s="135">
        <f>SUM(AF3:AF14)</f>
        <v>88190</v>
      </c>
      <c r="AG16" s="135">
        <f>SUM(AG3:AG14)</f>
        <v>73927</v>
      </c>
      <c r="AH16" s="135">
        <f t="shared" ref="AH16:BC16" si="4">SUM(AH3:AH14)</f>
        <v>157744</v>
      </c>
      <c r="AI16" s="135">
        <f t="shared" si="4"/>
        <v>0</v>
      </c>
      <c r="AJ16" s="135">
        <f t="shared" si="4"/>
        <v>55736</v>
      </c>
      <c r="AK16" s="135">
        <f t="shared" si="4"/>
        <v>0</v>
      </c>
      <c r="AL16" s="135">
        <f t="shared" si="4"/>
        <v>56689</v>
      </c>
      <c r="AM16" s="135">
        <f t="shared" si="4"/>
        <v>284079</v>
      </c>
      <c r="AN16" s="135">
        <f t="shared" si="4"/>
        <v>104673</v>
      </c>
      <c r="AO16" s="135">
        <f t="shared" si="4"/>
        <v>95498</v>
      </c>
      <c r="AP16" s="135">
        <f t="shared" si="4"/>
        <v>180888</v>
      </c>
      <c r="AQ16" s="135">
        <f t="shared" si="4"/>
        <v>80902</v>
      </c>
      <c r="AR16" s="135">
        <f t="shared" si="4"/>
        <v>73332</v>
      </c>
      <c r="AS16" s="135">
        <f t="shared" si="4"/>
        <v>36186</v>
      </c>
      <c r="AT16" s="135">
        <f t="shared" si="4"/>
        <v>67213</v>
      </c>
      <c r="AU16" s="135">
        <f t="shared" si="4"/>
        <v>0</v>
      </c>
      <c r="AV16" s="135">
        <f t="shared" si="4"/>
        <v>53</v>
      </c>
      <c r="AW16" s="135">
        <f t="shared" si="4"/>
        <v>1189</v>
      </c>
      <c r="AX16" s="135">
        <f t="shared" si="4"/>
        <v>50925</v>
      </c>
      <c r="AY16" s="135">
        <f t="shared" si="4"/>
        <v>2385</v>
      </c>
      <c r="AZ16" s="135">
        <f t="shared" si="4"/>
        <v>0</v>
      </c>
      <c r="BA16" s="135">
        <f t="shared" si="4"/>
        <v>223755</v>
      </c>
      <c r="BB16" s="135">
        <f t="shared" si="4"/>
        <v>710</v>
      </c>
      <c r="BC16" s="135">
        <f t="shared" si="4"/>
        <v>0</v>
      </c>
      <c r="BD16" s="135">
        <f>SUM(BD3:BD14)</f>
        <v>110136</v>
      </c>
      <c r="BE16" s="138">
        <f>SUM(B16:BC16)</f>
        <v>1711515</v>
      </c>
    </row>
    <row r="20" spans="1:57" x14ac:dyDescent="0.2">
      <c r="A20" s="26">
        <v>2018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/>
      <c r="BA20" s="31"/>
      <c r="BB20" s="31"/>
      <c r="BC20" s="31"/>
      <c r="BD20" s="31"/>
      <c r="BE20" s="31"/>
    </row>
    <row r="21" spans="1:57" x14ac:dyDescent="0.2">
      <c r="A21" s="106" t="s">
        <v>59</v>
      </c>
      <c r="C21">
        <v>125.68</v>
      </c>
      <c r="E21">
        <v>23.52</v>
      </c>
      <c r="F21">
        <v>329.5</v>
      </c>
      <c r="H21">
        <v>378.81</v>
      </c>
      <c r="I21">
        <v>1043.97</v>
      </c>
      <c r="K21">
        <v>173.53</v>
      </c>
      <c r="L21">
        <v>23.76</v>
      </c>
      <c r="M21">
        <v>385.75</v>
      </c>
      <c r="N21">
        <v>93.5</v>
      </c>
      <c r="O21">
        <v>177.23</v>
      </c>
      <c r="P21">
        <v>161.66999999999999</v>
      </c>
      <c r="Q21">
        <v>653.73</v>
      </c>
      <c r="R21">
        <v>145.47999999999999</v>
      </c>
      <c r="S21">
        <v>837.73</v>
      </c>
      <c r="U21">
        <v>12.87</v>
      </c>
      <c r="V21">
        <v>357.78</v>
      </c>
      <c r="W21">
        <v>19.75</v>
      </c>
      <c r="X21">
        <v>16</v>
      </c>
      <c r="Y21">
        <v>1436.2</v>
      </c>
      <c r="Z21">
        <v>385.86</v>
      </c>
      <c r="AA21">
        <v>4335.3900000000003</v>
      </c>
      <c r="AB21">
        <v>1942.12</v>
      </c>
      <c r="AC21">
        <v>0</v>
      </c>
      <c r="AD21">
        <v>0</v>
      </c>
      <c r="AE21">
        <v>204.34</v>
      </c>
      <c r="AF21">
        <v>0</v>
      </c>
      <c r="AG21">
        <v>0</v>
      </c>
      <c r="AH21">
        <v>0</v>
      </c>
      <c r="AJ21">
        <v>15.35</v>
      </c>
      <c r="AL21">
        <v>835.02</v>
      </c>
      <c r="AM21">
        <v>49.32</v>
      </c>
      <c r="AN21">
        <v>551.77</v>
      </c>
      <c r="AO21">
        <v>0</v>
      </c>
      <c r="AP21">
        <v>260.95</v>
      </c>
      <c r="AQ21">
        <v>476.5</v>
      </c>
      <c r="AR21">
        <v>0</v>
      </c>
      <c r="AS21">
        <v>361.64</v>
      </c>
      <c r="AT21">
        <v>4.22</v>
      </c>
      <c r="AV21">
        <v>14.17</v>
      </c>
      <c r="AW21">
        <v>291.2</v>
      </c>
      <c r="AX21">
        <v>0</v>
      </c>
      <c r="AY21">
        <v>470.03</v>
      </c>
      <c r="AZ21">
        <v>11.7</v>
      </c>
      <c r="BA21">
        <v>122.56</v>
      </c>
      <c r="BB21">
        <v>145.87</v>
      </c>
      <c r="BC21">
        <v>16.5</v>
      </c>
      <c r="BD21">
        <v>0</v>
      </c>
    </row>
    <row r="22" spans="1:57" x14ac:dyDescent="0.2">
      <c r="A22" s="113" t="s">
        <v>42</v>
      </c>
      <c r="C22">
        <v>121.46</v>
      </c>
      <c r="E22">
        <v>20.55</v>
      </c>
      <c r="F22">
        <v>339.54</v>
      </c>
      <c r="H22">
        <v>173.84</v>
      </c>
      <c r="I22">
        <v>709.42</v>
      </c>
      <c r="K22">
        <v>128.4</v>
      </c>
      <c r="L22">
        <v>22.99</v>
      </c>
      <c r="M22">
        <v>262.48</v>
      </c>
      <c r="N22">
        <v>58.41</v>
      </c>
      <c r="O22">
        <v>203.45</v>
      </c>
      <c r="P22">
        <v>173.44</v>
      </c>
      <c r="Q22">
        <v>517.82000000000005</v>
      </c>
      <c r="R22">
        <v>101.69</v>
      </c>
      <c r="S22">
        <v>526.74</v>
      </c>
      <c r="U22">
        <v>11.7</v>
      </c>
      <c r="V22">
        <v>243.2</v>
      </c>
      <c r="W22">
        <v>19.8</v>
      </c>
      <c r="X22">
        <v>16</v>
      </c>
      <c r="Y22">
        <v>1094.6600000000001</v>
      </c>
      <c r="Z22">
        <v>286.51</v>
      </c>
      <c r="AA22">
        <v>3342.03</v>
      </c>
      <c r="AB22">
        <v>1336.05</v>
      </c>
      <c r="AC22">
        <v>0</v>
      </c>
      <c r="AD22">
        <v>0</v>
      </c>
      <c r="AE22">
        <v>150.88999999999999</v>
      </c>
      <c r="AF22">
        <v>0</v>
      </c>
      <c r="AG22">
        <v>0</v>
      </c>
      <c r="AH22">
        <v>0</v>
      </c>
      <c r="AJ22">
        <v>15.35</v>
      </c>
      <c r="AL22">
        <v>771.78</v>
      </c>
      <c r="AM22">
        <v>243.28</v>
      </c>
      <c r="AN22">
        <v>448.68</v>
      </c>
      <c r="AO22">
        <v>0</v>
      </c>
      <c r="AP22">
        <v>0</v>
      </c>
      <c r="AQ22">
        <v>334.01</v>
      </c>
      <c r="AR22">
        <v>0</v>
      </c>
      <c r="AS22">
        <v>227.23</v>
      </c>
      <c r="AT22">
        <v>0</v>
      </c>
      <c r="AV22">
        <v>14.17</v>
      </c>
      <c r="AW22">
        <v>181.55</v>
      </c>
      <c r="AX22">
        <v>0</v>
      </c>
      <c r="AY22">
        <v>329.16</v>
      </c>
      <c r="AZ22">
        <v>11.7</v>
      </c>
      <c r="BA22">
        <v>73.45</v>
      </c>
      <c r="BB22">
        <v>114.05</v>
      </c>
      <c r="BC22">
        <v>16.5</v>
      </c>
      <c r="BD22">
        <v>0</v>
      </c>
    </row>
    <row r="23" spans="1:57" x14ac:dyDescent="0.2">
      <c r="A23" s="113" t="s">
        <v>43</v>
      </c>
      <c r="C23">
        <v>22.77</v>
      </c>
      <c r="E23">
        <v>20.149999999999999</v>
      </c>
      <c r="F23">
        <v>265.42</v>
      </c>
      <c r="H23">
        <v>81.28</v>
      </c>
      <c r="I23">
        <v>341.63</v>
      </c>
      <c r="K23">
        <v>81.44</v>
      </c>
      <c r="L23">
        <v>21.01</v>
      </c>
      <c r="M23">
        <v>195.8</v>
      </c>
      <c r="N23">
        <v>16.71</v>
      </c>
      <c r="O23">
        <v>62.77</v>
      </c>
      <c r="P23">
        <v>130.19999999999999</v>
      </c>
      <c r="Q23">
        <v>90.1</v>
      </c>
      <c r="R23">
        <v>53.84</v>
      </c>
      <c r="S23">
        <v>399.86</v>
      </c>
      <c r="U23">
        <v>11.7</v>
      </c>
      <c r="V23">
        <v>130.94999999999999</v>
      </c>
      <c r="W23">
        <v>18.329999999999998</v>
      </c>
      <c r="X23">
        <v>16</v>
      </c>
      <c r="Y23">
        <v>467.44</v>
      </c>
      <c r="Z23">
        <v>80.22</v>
      </c>
      <c r="AA23">
        <v>2130.06</v>
      </c>
      <c r="AB23">
        <v>665.98</v>
      </c>
      <c r="AC23">
        <v>0</v>
      </c>
      <c r="AD23">
        <v>0</v>
      </c>
      <c r="AE23">
        <v>73.38</v>
      </c>
      <c r="AF23">
        <v>0</v>
      </c>
      <c r="AG23">
        <v>0</v>
      </c>
      <c r="AH23">
        <v>0</v>
      </c>
      <c r="AJ23">
        <v>167.45</v>
      </c>
      <c r="AL23">
        <v>480.91</v>
      </c>
      <c r="AM23">
        <v>430.64</v>
      </c>
      <c r="AN23">
        <v>130.85</v>
      </c>
      <c r="AO23">
        <v>0</v>
      </c>
      <c r="AP23">
        <v>0</v>
      </c>
      <c r="AQ23">
        <v>265.89999999999998</v>
      </c>
      <c r="AR23">
        <v>0</v>
      </c>
      <c r="AS23">
        <v>57.41</v>
      </c>
      <c r="AT23">
        <v>0</v>
      </c>
      <c r="AV23">
        <v>15.16</v>
      </c>
      <c r="AW23">
        <v>82.89</v>
      </c>
      <c r="AX23">
        <v>0</v>
      </c>
      <c r="AY23">
        <v>192.13</v>
      </c>
      <c r="AZ23">
        <v>11.7</v>
      </c>
      <c r="BA23">
        <v>20.76</v>
      </c>
      <c r="BB23">
        <v>69.61</v>
      </c>
      <c r="BC23">
        <v>16.5</v>
      </c>
      <c r="BD23">
        <v>0</v>
      </c>
    </row>
    <row r="24" spans="1:57" x14ac:dyDescent="0.2">
      <c r="A24" s="113" t="s">
        <v>44</v>
      </c>
      <c r="C24">
        <v>21.58</v>
      </c>
      <c r="E24">
        <v>20.86</v>
      </c>
      <c r="F24">
        <v>38.04</v>
      </c>
      <c r="H24">
        <v>25.33</v>
      </c>
      <c r="I24">
        <v>310.48</v>
      </c>
      <c r="K24">
        <v>65.459999999999994</v>
      </c>
      <c r="L24">
        <v>21.75</v>
      </c>
      <c r="M24">
        <v>75.510000000000005</v>
      </c>
      <c r="N24">
        <v>16.71</v>
      </c>
      <c r="O24">
        <v>67.59</v>
      </c>
      <c r="P24">
        <v>98.77</v>
      </c>
      <c r="Q24">
        <v>82.73</v>
      </c>
      <c r="R24">
        <v>42.15</v>
      </c>
      <c r="S24">
        <v>321.27999999999997</v>
      </c>
      <c r="U24">
        <v>11.7</v>
      </c>
      <c r="V24">
        <v>81.94</v>
      </c>
      <c r="W24">
        <v>18.79</v>
      </c>
      <c r="X24">
        <v>16</v>
      </c>
      <c r="Y24">
        <v>390.72</v>
      </c>
      <c r="Z24">
        <v>48.33</v>
      </c>
      <c r="AA24">
        <v>1733.67</v>
      </c>
      <c r="AB24">
        <v>707</v>
      </c>
      <c r="AC24">
        <v>0</v>
      </c>
      <c r="AD24">
        <v>0</v>
      </c>
      <c r="AE24">
        <v>47.53</v>
      </c>
      <c r="AF24">
        <v>0</v>
      </c>
      <c r="AG24">
        <v>0</v>
      </c>
      <c r="AH24">
        <v>0</v>
      </c>
      <c r="AJ24">
        <v>15.35</v>
      </c>
      <c r="AL24">
        <v>362</v>
      </c>
      <c r="AM24">
        <v>231.03</v>
      </c>
      <c r="AN24">
        <v>79.709999999999994</v>
      </c>
      <c r="AO24">
        <v>0</v>
      </c>
      <c r="AP24">
        <v>0</v>
      </c>
      <c r="AQ24">
        <v>208.97</v>
      </c>
      <c r="AR24">
        <v>0</v>
      </c>
      <c r="AS24">
        <v>54.71</v>
      </c>
      <c r="AT24">
        <v>0</v>
      </c>
      <c r="AV24">
        <v>14.08</v>
      </c>
      <c r="AW24">
        <v>66.900000000000006</v>
      </c>
      <c r="AX24">
        <v>0</v>
      </c>
      <c r="AY24">
        <v>180.12</v>
      </c>
      <c r="AZ24">
        <v>11.7</v>
      </c>
      <c r="BA24">
        <v>23.69</v>
      </c>
      <c r="BB24">
        <v>53.89</v>
      </c>
      <c r="BC24">
        <v>16.5</v>
      </c>
      <c r="BD24">
        <v>0</v>
      </c>
    </row>
    <row r="25" spans="1:57" x14ac:dyDescent="0.2">
      <c r="A25" s="113" t="s">
        <v>45</v>
      </c>
      <c r="C25">
        <v>20.87</v>
      </c>
      <c r="E25">
        <v>18.79</v>
      </c>
      <c r="F25">
        <v>15.35</v>
      </c>
      <c r="H25">
        <v>22.46</v>
      </c>
      <c r="I25">
        <v>67.62</v>
      </c>
      <c r="K25">
        <v>16</v>
      </c>
      <c r="L25">
        <v>20.3</v>
      </c>
      <c r="M25">
        <v>21.01</v>
      </c>
      <c r="N25">
        <v>16.02</v>
      </c>
      <c r="O25">
        <v>16.02</v>
      </c>
      <c r="P25">
        <v>49.69</v>
      </c>
      <c r="Q25">
        <v>15.35</v>
      </c>
      <c r="R25">
        <v>18.77</v>
      </c>
      <c r="S25">
        <v>90.28</v>
      </c>
      <c r="U25">
        <v>17.39</v>
      </c>
      <c r="V25">
        <v>19.59</v>
      </c>
      <c r="W25">
        <v>17.41</v>
      </c>
      <c r="X25">
        <v>16</v>
      </c>
      <c r="Y25">
        <v>31.84</v>
      </c>
      <c r="Z25">
        <v>16.71</v>
      </c>
      <c r="AA25">
        <v>233.28</v>
      </c>
      <c r="AB25">
        <v>204.4</v>
      </c>
      <c r="AC25">
        <v>1.27</v>
      </c>
      <c r="AD25">
        <v>0</v>
      </c>
      <c r="AE25">
        <v>18.87</v>
      </c>
      <c r="AF25">
        <v>1.99</v>
      </c>
      <c r="AG25">
        <v>0</v>
      </c>
      <c r="AH25">
        <v>0</v>
      </c>
      <c r="AJ25">
        <v>15.35</v>
      </c>
      <c r="AL25">
        <v>169.37</v>
      </c>
      <c r="AM25">
        <v>33.909999999999997</v>
      </c>
      <c r="AN25">
        <v>0</v>
      </c>
      <c r="AO25">
        <v>0</v>
      </c>
      <c r="AP25">
        <v>4.45</v>
      </c>
      <c r="AQ25">
        <v>57.35</v>
      </c>
      <c r="AR25">
        <v>4.54</v>
      </c>
      <c r="AS25">
        <v>5.41</v>
      </c>
      <c r="AT25">
        <v>0</v>
      </c>
      <c r="AV25">
        <v>14.08</v>
      </c>
      <c r="AW25">
        <v>16.72</v>
      </c>
      <c r="AX25">
        <v>0</v>
      </c>
      <c r="AY25">
        <v>14.67</v>
      </c>
      <c r="AZ25">
        <v>11.7</v>
      </c>
      <c r="BA25">
        <v>3.7</v>
      </c>
      <c r="BB25">
        <v>18.82</v>
      </c>
      <c r="BC25">
        <v>16.5</v>
      </c>
      <c r="BD25">
        <v>0</v>
      </c>
    </row>
    <row r="26" spans="1:57" x14ac:dyDescent="0.2">
      <c r="A26" s="113" t="s">
        <v>46</v>
      </c>
      <c r="C26">
        <v>22.26</v>
      </c>
      <c r="E26">
        <v>18.79</v>
      </c>
      <c r="F26">
        <v>15.35</v>
      </c>
      <c r="H26">
        <v>23.19</v>
      </c>
      <c r="I26">
        <v>16</v>
      </c>
      <c r="K26">
        <v>16</v>
      </c>
      <c r="L26">
        <v>19.59</v>
      </c>
      <c r="M26">
        <v>21.75</v>
      </c>
      <c r="N26">
        <v>16.02</v>
      </c>
      <c r="O26">
        <v>16.02</v>
      </c>
      <c r="P26">
        <v>18.96</v>
      </c>
      <c r="Q26">
        <v>17.41</v>
      </c>
      <c r="R26">
        <v>18.77</v>
      </c>
      <c r="S26">
        <v>16.02</v>
      </c>
      <c r="U26">
        <v>21.93</v>
      </c>
      <c r="V26">
        <v>20.3</v>
      </c>
      <c r="W26">
        <v>16.72</v>
      </c>
      <c r="X26">
        <v>16</v>
      </c>
      <c r="Y26">
        <v>33.200000000000003</v>
      </c>
      <c r="Z26">
        <v>16.02</v>
      </c>
      <c r="AA26">
        <v>133.59</v>
      </c>
      <c r="AB26">
        <v>240.16</v>
      </c>
      <c r="AC26">
        <v>0</v>
      </c>
      <c r="AD26">
        <v>0</v>
      </c>
      <c r="AE26">
        <v>23.19</v>
      </c>
      <c r="AF26">
        <v>0</v>
      </c>
      <c r="AG26">
        <v>0</v>
      </c>
      <c r="AH26">
        <v>0</v>
      </c>
      <c r="AJ26">
        <v>15.35</v>
      </c>
      <c r="AL26">
        <v>142.13999999999999</v>
      </c>
      <c r="AM26">
        <v>18.149999999999999</v>
      </c>
      <c r="AN26">
        <v>0</v>
      </c>
      <c r="AO26">
        <v>0</v>
      </c>
      <c r="AP26">
        <v>0</v>
      </c>
      <c r="AQ26">
        <v>33.770000000000003</v>
      </c>
      <c r="AR26">
        <v>0</v>
      </c>
      <c r="AS26">
        <v>0</v>
      </c>
      <c r="AT26">
        <v>0</v>
      </c>
      <c r="AV26">
        <v>14.08</v>
      </c>
      <c r="AW26">
        <v>83.39</v>
      </c>
      <c r="AX26">
        <v>0</v>
      </c>
      <c r="AY26">
        <v>16</v>
      </c>
      <c r="AZ26">
        <v>11.7</v>
      </c>
      <c r="BA26">
        <v>0</v>
      </c>
      <c r="BB26">
        <v>18.13</v>
      </c>
      <c r="BC26">
        <v>16.5</v>
      </c>
      <c r="BD26">
        <v>0</v>
      </c>
    </row>
    <row r="27" spans="1:57" x14ac:dyDescent="0.2">
      <c r="A27" s="113" t="s">
        <v>47</v>
      </c>
      <c r="C27">
        <v>20.87</v>
      </c>
      <c r="E27">
        <v>16.04</v>
      </c>
      <c r="F27">
        <v>15.35</v>
      </c>
      <c r="H27">
        <v>23.19</v>
      </c>
      <c r="I27">
        <v>16</v>
      </c>
      <c r="K27">
        <v>16</v>
      </c>
      <c r="L27">
        <v>20.3</v>
      </c>
      <c r="M27">
        <v>21.75</v>
      </c>
      <c r="N27">
        <v>16.71</v>
      </c>
      <c r="O27">
        <v>16.02</v>
      </c>
      <c r="P27">
        <v>17.86</v>
      </c>
      <c r="Q27">
        <v>15.35</v>
      </c>
      <c r="R27">
        <v>18.079999999999998</v>
      </c>
      <c r="S27">
        <v>16.02</v>
      </c>
      <c r="U27">
        <v>20.81</v>
      </c>
      <c r="V27">
        <v>18.87</v>
      </c>
      <c r="W27">
        <v>17.41</v>
      </c>
      <c r="X27">
        <v>16</v>
      </c>
      <c r="Y27">
        <v>31.84</v>
      </c>
      <c r="Z27">
        <v>16.02</v>
      </c>
      <c r="AA27">
        <v>126.71</v>
      </c>
      <c r="AB27">
        <v>244.95</v>
      </c>
      <c r="AC27">
        <v>0</v>
      </c>
      <c r="AD27">
        <v>0</v>
      </c>
      <c r="AE27">
        <v>27.47</v>
      </c>
      <c r="AF27">
        <v>0</v>
      </c>
      <c r="AG27">
        <v>0</v>
      </c>
      <c r="AH27">
        <v>0</v>
      </c>
      <c r="AJ27">
        <v>15.35</v>
      </c>
      <c r="AL27">
        <v>137.47999999999999</v>
      </c>
      <c r="AM27">
        <v>16</v>
      </c>
      <c r="AN27">
        <v>2.65</v>
      </c>
      <c r="AO27">
        <v>0</v>
      </c>
      <c r="AP27">
        <v>0</v>
      </c>
      <c r="AQ27">
        <v>-22.93</v>
      </c>
      <c r="AR27">
        <v>0</v>
      </c>
      <c r="AS27">
        <v>0</v>
      </c>
      <c r="AT27">
        <v>0</v>
      </c>
      <c r="AV27">
        <v>14.08</v>
      </c>
      <c r="AW27">
        <v>16.72</v>
      </c>
      <c r="AX27">
        <v>2.54</v>
      </c>
      <c r="AY27">
        <v>16</v>
      </c>
      <c r="AZ27">
        <v>11.7</v>
      </c>
      <c r="BA27">
        <v>0</v>
      </c>
      <c r="BB27">
        <v>18.13</v>
      </c>
      <c r="BC27">
        <v>16.5</v>
      </c>
      <c r="BD27">
        <v>4.01</v>
      </c>
    </row>
    <row r="28" spans="1:57" x14ac:dyDescent="0.2">
      <c r="A28" s="113" t="s">
        <v>48</v>
      </c>
      <c r="C28">
        <v>26.39</v>
      </c>
      <c r="E28">
        <v>15.35</v>
      </c>
      <c r="F28">
        <v>15.35</v>
      </c>
      <c r="H28">
        <v>23.19</v>
      </c>
      <c r="I28">
        <v>16</v>
      </c>
      <c r="K28">
        <v>16</v>
      </c>
      <c r="L28">
        <v>21.01</v>
      </c>
      <c r="M28">
        <v>20.3</v>
      </c>
      <c r="N28">
        <v>16.02</v>
      </c>
      <c r="O28">
        <v>16.71</v>
      </c>
      <c r="P28">
        <v>17.86</v>
      </c>
      <c r="Q28">
        <v>15.35</v>
      </c>
      <c r="R28">
        <v>18.77</v>
      </c>
      <c r="S28">
        <v>58.64</v>
      </c>
      <c r="U28">
        <v>21.93</v>
      </c>
      <c r="V28">
        <v>19.59</v>
      </c>
      <c r="W28">
        <v>16.72</v>
      </c>
      <c r="X28">
        <v>16</v>
      </c>
      <c r="Y28">
        <v>19.46</v>
      </c>
      <c r="Z28">
        <v>16.02</v>
      </c>
      <c r="AA28">
        <v>121.91</v>
      </c>
      <c r="AB28">
        <v>238.1</v>
      </c>
      <c r="AC28">
        <v>57.35</v>
      </c>
      <c r="AD28">
        <v>0</v>
      </c>
      <c r="AE28">
        <v>32.49</v>
      </c>
      <c r="AF28">
        <v>12.83</v>
      </c>
      <c r="AG28">
        <v>13.27</v>
      </c>
      <c r="AH28">
        <v>7.74</v>
      </c>
      <c r="AJ28">
        <v>16.04</v>
      </c>
      <c r="AL28">
        <v>4236.1899999999996</v>
      </c>
      <c r="AM28">
        <v>46.11</v>
      </c>
      <c r="AN28">
        <v>660.89</v>
      </c>
      <c r="AO28">
        <v>9457.2800000000007</v>
      </c>
      <c r="AP28">
        <v>8.2799999999999994</v>
      </c>
      <c r="AQ28">
        <v>-14.65</v>
      </c>
      <c r="AR28">
        <v>554.39</v>
      </c>
      <c r="AS28">
        <v>0.67</v>
      </c>
      <c r="AT28">
        <v>7.98</v>
      </c>
      <c r="AV28">
        <v>16.239999999999998</v>
      </c>
      <c r="AW28">
        <v>19.59</v>
      </c>
      <c r="AX28">
        <v>111.51</v>
      </c>
      <c r="AY28">
        <v>16</v>
      </c>
      <c r="AZ28">
        <v>11.7</v>
      </c>
      <c r="BA28">
        <v>3545.03</v>
      </c>
      <c r="BB28">
        <v>17.440000000000001</v>
      </c>
      <c r="BC28">
        <v>16.5</v>
      </c>
      <c r="BD28">
        <v>1.99</v>
      </c>
    </row>
    <row r="29" spans="1:57" x14ac:dyDescent="0.2">
      <c r="A29" s="113" t="s">
        <v>49</v>
      </c>
      <c r="C29">
        <v>25.78</v>
      </c>
      <c r="E29">
        <v>12.6</v>
      </c>
      <c r="F29">
        <v>12.6</v>
      </c>
      <c r="H29">
        <v>22.46</v>
      </c>
      <c r="I29">
        <v>16</v>
      </c>
      <c r="K29">
        <v>13.14</v>
      </c>
      <c r="L29">
        <v>17.899999999999999</v>
      </c>
      <c r="M29">
        <v>18.600000000000001</v>
      </c>
      <c r="N29">
        <v>16.02</v>
      </c>
      <c r="O29">
        <v>40.4</v>
      </c>
      <c r="P29">
        <v>17.86</v>
      </c>
      <c r="Q29">
        <v>77.63</v>
      </c>
      <c r="R29">
        <v>15.88</v>
      </c>
      <c r="S29">
        <v>330.46</v>
      </c>
      <c r="U29">
        <v>21.61</v>
      </c>
      <c r="V29">
        <v>17.23</v>
      </c>
      <c r="W29">
        <v>17.41</v>
      </c>
      <c r="X29">
        <v>16</v>
      </c>
      <c r="Y29">
        <v>13.27</v>
      </c>
      <c r="Z29">
        <v>16.02</v>
      </c>
      <c r="AA29">
        <v>131.88</v>
      </c>
      <c r="AB29">
        <v>771.22</v>
      </c>
      <c r="AC29">
        <v>0</v>
      </c>
      <c r="AD29">
        <v>0</v>
      </c>
      <c r="AE29">
        <v>36.36</v>
      </c>
      <c r="AF29">
        <v>15792.43</v>
      </c>
      <c r="AG29">
        <v>14400.89</v>
      </c>
      <c r="AH29">
        <v>33324.17</v>
      </c>
      <c r="AJ29">
        <v>13019.47</v>
      </c>
      <c r="AL29">
        <v>17328.330000000002</v>
      </c>
      <c r="AM29">
        <v>24456.66</v>
      </c>
      <c r="AN29">
        <v>23975.25</v>
      </c>
      <c r="AO29">
        <v>3365.59</v>
      </c>
      <c r="AP29">
        <v>24723.95</v>
      </c>
      <c r="AQ29">
        <v>12.11</v>
      </c>
      <c r="AR29">
        <v>19634</v>
      </c>
      <c r="AS29">
        <v>13305.47</v>
      </c>
      <c r="AT29">
        <v>9361.1299999999992</v>
      </c>
      <c r="AV29">
        <v>17.34</v>
      </c>
      <c r="AW29">
        <v>18.149999999999999</v>
      </c>
      <c r="AX29">
        <v>15319.71</v>
      </c>
      <c r="AY29">
        <v>13.14</v>
      </c>
      <c r="AZ29">
        <v>9.92</v>
      </c>
      <c r="BA29">
        <v>55041.17</v>
      </c>
      <c r="BB29">
        <v>15.28</v>
      </c>
      <c r="BC29">
        <v>16.5</v>
      </c>
      <c r="BD29">
        <v>26792.05</v>
      </c>
    </row>
    <row r="30" spans="1:57" x14ac:dyDescent="0.2">
      <c r="A30" s="113" t="s">
        <v>50</v>
      </c>
      <c r="C30">
        <v>27.08</v>
      </c>
      <c r="E30">
        <v>12.6</v>
      </c>
      <c r="F30">
        <v>14.64</v>
      </c>
      <c r="H30">
        <v>19.29</v>
      </c>
      <c r="I30">
        <v>83.5</v>
      </c>
      <c r="K30">
        <v>32.229999999999997</v>
      </c>
      <c r="L30">
        <v>18.79</v>
      </c>
      <c r="M30">
        <v>19.510000000000002</v>
      </c>
      <c r="N30">
        <v>13.27</v>
      </c>
      <c r="O30">
        <v>144.4</v>
      </c>
      <c r="P30">
        <v>14.71</v>
      </c>
      <c r="Q30">
        <v>283.01</v>
      </c>
      <c r="R30">
        <v>15.31</v>
      </c>
      <c r="S30">
        <v>330.84</v>
      </c>
      <c r="U30">
        <v>22.67</v>
      </c>
      <c r="V30">
        <v>38.590000000000003</v>
      </c>
      <c r="W30">
        <v>13.9</v>
      </c>
      <c r="X30">
        <v>13.14</v>
      </c>
      <c r="Y30">
        <v>177.95</v>
      </c>
      <c r="Z30">
        <v>34.979999999999997</v>
      </c>
      <c r="AA30">
        <v>1076.68</v>
      </c>
      <c r="AB30">
        <v>884.12</v>
      </c>
      <c r="AC30">
        <v>0</v>
      </c>
      <c r="AD30">
        <v>0</v>
      </c>
      <c r="AE30">
        <v>64.040000000000006</v>
      </c>
      <c r="AF30">
        <v>13978.93</v>
      </c>
      <c r="AG30">
        <v>13545.23</v>
      </c>
      <c r="AH30">
        <v>22307.09</v>
      </c>
      <c r="AJ30">
        <v>13107.82</v>
      </c>
      <c r="AL30">
        <v>3717.24</v>
      </c>
      <c r="AM30">
        <v>80805.740000000005</v>
      </c>
      <c r="AN30">
        <v>27353.48</v>
      </c>
      <c r="AO30">
        <v>30357.919999999998</v>
      </c>
      <c r="AP30">
        <v>35388.879999999997</v>
      </c>
      <c r="AQ30">
        <v>13411.77</v>
      </c>
      <c r="AR30">
        <v>13575.58</v>
      </c>
      <c r="AS30">
        <v>3782.42</v>
      </c>
      <c r="AT30">
        <v>19976.54</v>
      </c>
      <c r="AV30">
        <v>15.29</v>
      </c>
      <c r="AW30">
        <v>13.82</v>
      </c>
      <c r="AX30">
        <v>6333.68</v>
      </c>
      <c r="AY30">
        <v>50.61</v>
      </c>
      <c r="AZ30">
        <v>9.92</v>
      </c>
      <c r="BA30">
        <v>58741.35</v>
      </c>
      <c r="BB30">
        <v>34.299999999999997</v>
      </c>
      <c r="BC30">
        <v>13.55</v>
      </c>
      <c r="BD30">
        <v>20938.009999999998</v>
      </c>
    </row>
    <row r="31" spans="1:57" x14ac:dyDescent="0.2">
      <c r="A31" s="113" t="s">
        <v>51</v>
      </c>
      <c r="C31">
        <v>59.44</v>
      </c>
      <c r="E31">
        <v>12.87</v>
      </c>
      <c r="F31">
        <v>148.93</v>
      </c>
      <c r="H31">
        <v>76.33</v>
      </c>
      <c r="I31">
        <v>544.36</v>
      </c>
      <c r="K31">
        <v>123.54</v>
      </c>
      <c r="L31">
        <v>20.52</v>
      </c>
      <c r="M31">
        <v>184.98</v>
      </c>
      <c r="N31">
        <v>13.54</v>
      </c>
      <c r="O31">
        <v>0</v>
      </c>
      <c r="P31">
        <v>16.75</v>
      </c>
      <c r="Q31">
        <v>0</v>
      </c>
      <c r="R31">
        <v>23.77</v>
      </c>
      <c r="S31">
        <v>654.84</v>
      </c>
      <c r="U31">
        <v>26.85</v>
      </c>
      <c r="V31">
        <v>276.76</v>
      </c>
      <c r="W31">
        <v>15.3</v>
      </c>
      <c r="X31">
        <v>13.14</v>
      </c>
      <c r="Y31">
        <v>983.87</v>
      </c>
      <c r="Z31">
        <v>143.12</v>
      </c>
      <c r="AA31">
        <v>3152.95</v>
      </c>
      <c r="AB31">
        <v>757.72</v>
      </c>
      <c r="AC31">
        <v>0</v>
      </c>
      <c r="AD31">
        <v>0</v>
      </c>
      <c r="AE31">
        <v>160.63999999999999</v>
      </c>
      <c r="AF31">
        <v>12436.06</v>
      </c>
      <c r="AG31">
        <v>7671.4</v>
      </c>
      <c r="AH31">
        <v>13863.83</v>
      </c>
      <c r="AJ31">
        <v>4143.8100000000004</v>
      </c>
      <c r="AL31">
        <v>-309.26</v>
      </c>
      <c r="AM31">
        <v>35009.18</v>
      </c>
      <c r="AN31">
        <v>254.44</v>
      </c>
      <c r="AO31">
        <v>-17478.07</v>
      </c>
      <c r="AP31">
        <v>22274.52</v>
      </c>
      <c r="AQ31">
        <v>17955.080000000002</v>
      </c>
      <c r="AR31">
        <v>0</v>
      </c>
      <c r="AS31">
        <v>154.51</v>
      </c>
      <c r="AT31">
        <v>4344.92</v>
      </c>
      <c r="AV31">
        <v>29.77</v>
      </c>
      <c r="AW31">
        <v>88.36</v>
      </c>
      <c r="AX31">
        <v>3671.92</v>
      </c>
      <c r="AY31">
        <v>250.44</v>
      </c>
      <c r="AZ31">
        <v>10.01</v>
      </c>
      <c r="BA31">
        <v>1857.65</v>
      </c>
      <c r="BB31">
        <v>72</v>
      </c>
      <c r="BC31">
        <v>13.55</v>
      </c>
      <c r="BD31">
        <v>7194.33</v>
      </c>
    </row>
    <row r="32" spans="1:57" x14ac:dyDescent="0.2">
      <c r="A32" s="113" t="s">
        <v>52</v>
      </c>
      <c r="C32">
        <v>98.4</v>
      </c>
      <c r="E32">
        <v>12.87</v>
      </c>
      <c r="F32">
        <v>335.09</v>
      </c>
      <c r="H32">
        <v>250.34</v>
      </c>
      <c r="I32">
        <v>642.08000000000004</v>
      </c>
      <c r="K32">
        <v>155.79</v>
      </c>
      <c r="L32">
        <v>21.92</v>
      </c>
      <c r="M32">
        <v>300.76</v>
      </c>
      <c r="N32">
        <v>14.22</v>
      </c>
      <c r="O32">
        <v>242.59</v>
      </c>
      <c r="P32">
        <v>109.33</v>
      </c>
      <c r="Q32">
        <v>301.51</v>
      </c>
      <c r="R32">
        <v>78.87</v>
      </c>
      <c r="S32">
        <v>529.62</v>
      </c>
      <c r="U32">
        <v>29.29</v>
      </c>
      <c r="V32">
        <v>330.59</v>
      </c>
      <c r="W32">
        <v>16.28</v>
      </c>
      <c r="X32">
        <v>13.42</v>
      </c>
      <c r="Y32">
        <v>1391.41</v>
      </c>
      <c r="Z32">
        <v>261.77999999999997</v>
      </c>
      <c r="AA32">
        <v>4042.67</v>
      </c>
      <c r="AC32">
        <v>0</v>
      </c>
      <c r="AD32">
        <v>0</v>
      </c>
      <c r="AE32">
        <v>127.91</v>
      </c>
      <c r="AF32">
        <v>105.23</v>
      </c>
      <c r="AG32">
        <v>381.24</v>
      </c>
      <c r="AH32">
        <v>903.72</v>
      </c>
      <c r="AJ32">
        <v>4089.97</v>
      </c>
      <c r="AL32">
        <v>-204.44</v>
      </c>
      <c r="AM32">
        <v>29386.52</v>
      </c>
      <c r="AN32">
        <v>-214.22</v>
      </c>
      <c r="AO32">
        <v>-4550.96</v>
      </c>
      <c r="AP32">
        <v>991.24</v>
      </c>
      <c r="AQ32">
        <v>8278.7199999999993</v>
      </c>
      <c r="AR32">
        <v>0</v>
      </c>
      <c r="AS32">
        <v>-133.5</v>
      </c>
      <c r="AT32">
        <v>-316.56</v>
      </c>
      <c r="AV32">
        <v>12.33</v>
      </c>
      <c r="AW32">
        <v>176.76</v>
      </c>
      <c r="AX32">
        <v>-253.66</v>
      </c>
      <c r="AY32">
        <v>376.46</v>
      </c>
      <c r="AZ32">
        <v>10.01</v>
      </c>
      <c r="BA32">
        <v>980.51</v>
      </c>
      <c r="BB32">
        <v>106.03</v>
      </c>
      <c r="BC32">
        <v>13.84</v>
      </c>
      <c r="BD32">
        <v>0</v>
      </c>
    </row>
    <row r="33" spans="1:57" ht="13.5" thickBot="1" x14ac:dyDescent="0.25">
      <c r="A33" s="106" t="s">
        <v>58</v>
      </c>
      <c r="B33" s="116">
        <f>SUM(B21:B32)</f>
        <v>0</v>
      </c>
      <c r="C33" s="116">
        <f>SUM(C21:C32)</f>
        <v>592.57999999999993</v>
      </c>
      <c r="D33" s="116"/>
      <c r="E33" s="116">
        <f t="shared" ref="E33:AY33" si="5">SUM(E21:E32)</f>
        <v>204.98999999999998</v>
      </c>
      <c r="F33" s="116">
        <f t="shared" si="5"/>
        <v>1545.16</v>
      </c>
      <c r="G33" s="117">
        <f t="shared" si="5"/>
        <v>0</v>
      </c>
      <c r="H33" s="116">
        <f t="shared" si="5"/>
        <v>1119.7100000000003</v>
      </c>
      <c r="I33" s="117">
        <f t="shared" si="5"/>
        <v>3807.06</v>
      </c>
      <c r="J33" s="118">
        <f t="shared" si="5"/>
        <v>0</v>
      </c>
      <c r="K33" s="117">
        <f t="shared" si="5"/>
        <v>837.52999999999986</v>
      </c>
      <c r="L33" s="117">
        <f t="shared" si="5"/>
        <v>249.84000000000003</v>
      </c>
      <c r="M33" s="117">
        <f t="shared" si="5"/>
        <v>1528.2</v>
      </c>
      <c r="N33" s="117">
        <f t="shared" si="5"/>
        <v>307.15000000000009</v>
      </c>
      <c r="O33" s="119">
        <f t="shared" si="5"/>
        <v>1003.1999999999999</v>
      </c>
      <c r="P33" s="117">
        <f t="shared" si="5"/>
        <v>827.10000000000014</v>
      </c>
      <c r="Q33" s="119">
        <f t="shared" si="5"/>
        <v>2069.9899999999998</v>
      </c>
      <c r="R33" s="119">
        <f t="shared" si="5"/>
        <v>551.37999999999988</v>
      </c>
      <c r="S33" s="119">
        <f t="shared" si="5"/>
        <v>4112.33</v>
      </c>
      <c r="T33" s="117">
        <f t="shared" si="5"/>
        <v>0</v>
      </c>
      <c r="U33" s="119">
        <f t="shared" si="5"/>
        <v>230.45</v>
      </c>
      <c r="V33" s="119">
        <f t="shared" si="5"/>
        <v>1555.39</v>
      </c>
      <c r="W33" s="117">
        <f t="shared" si="5"/>
        <v>207.82</v>
      </c>
      <c r="X33" s="119">
        <f t="shared" si="5"/>
        <v>183.69999999999996</v>
      </c>
      <c r="Y33" s="119">
        <f t="shared" si="5"/>
        <v>6071.8600000000006</v>
      </c>
      <c r="Z33" s="119">
        <f t="shared" si="5"/>
        <v>1321.59</v>
      </c>
      <c r="AA33" s="119">
        <f t="shared" si="5"/>
        <v>20560.82</v>
      </c>
      <c r="AB33" s="119">
        <f t="shared" si="5"/>
        <v>7991.82</v>
      </c>
      <c r="AC33" s="119">
        <f>SUM(AC21:AC32)</f>
        <v>58.620000000000005</v>
      </c>
      <c r="AD33" s="119">
        <f>SUM(AD21:AD32)</f>
        <v>0</v>
      </c>
      <c r="AE33" s="119"/>
      <c r="AF33" s="119">
        <f>SUM(AF21:AF32)</f>
        <v>42327.47</v>
      </c>
      <c r="AG33" s="119">
        <f>SUM(AG21:AG32)</f>
        <v>36012.03</v>
      </c>
      <c r="AH33" s="119">
        <f>SUM(AH21:AH32)</f>
        <v>70406.55</v>
      </c>
      <c r="AI33" s="119">
        <f>SUM(AI21:AI32)</f>
        <v>0</v>
      </c>
      <c r="AJ33" s="119">
        <f>SUM(AJ21:AJ32)</f>
        <v>34636.659999999996</v>
      </c>
      <c r="AK33" s="119">
        <f t="shared" si="5"/>
        <v>0</v>
      </c>
      <c r="AL33" s="119">
        <f t="shared" si="5"/>
        <v>27666.760000000002</v>
      </c>
      <c r="AM33" s="117">
        <f t="shared" si="5"/>
        <v>170726.53999999998</v>
      </c>
      <c r="AN33" s="117">
        <f t="shared" si="5"/>
        <v>53243.5</v>
      </c>
      <c r="AO33" s="119">
        <f t="shared" si="5"/>
        <v>21151.760000000002</v>
      </c>
      <c r="AP33" s="119">
        <f t="shared" si="5"/>
        <v>83652.27</v>
      </c>
      <c r="AQ33" s="119">
        <f t="shared" si="5"/>
        <v>40996.6</v>
      </c>
      <c r="AR33" s="119">
        <f t="shared" si="5"/>
        <v>33768.51</v>
      </c>
      <c r="AS33" s="119">
        <f t="shared" si="5"/>
        <v>17815.969999999998</v>
      </c>
      <c r="AT33" s="119">
        <f t="shared" si="5"/>
        <v>33378.230000000003</v>
      </c>
      <c r="AU33" s="119">
        <f t="shared" si="5"/>
        <v>0</v>
      </c>
      <c r="AV33" s="119">
        <f t="shared" si="5"/>
        <v>190.79</v>
      </c>
      <c r="AW33" s="119">
        <f t="shared" si="5"/>
        <v>1056.0500000000002</v>
      </c>
      <c r="AX33" s="119">
        <f>SUM(AX21:AX32)</f>
        <v>25185.7</v>
      </c>
      <c r="AY33" s="119">
        <f t="shared" si="5"/>
        <v>1924.7600000000002</v>
      </c>
      <c r="AZ33" s="119">
        <f>SUM(AZ21:AZ32)</f>
        <v>133.46</v>
      </c>
      <c r="BA33" s="119">
        <f>SUM(BA21:BA32)</f>
        <v>120409.86999999998</v>
      </c>
      <c r="BB33" s="119">
        <f>SUM(BB21:BB32)</f>
        <v>683.55</v>
      </c>
      <c r="BC33" s="119">
        <f>SUM(BC21:BC32)</f>
        <v>189.44000000000003</v>
      </c>
      <c r="BD33" s="119">
        <f>SUM(BD21:BD32)</f>
        <v>54930.39</v>
      </c>
      <c r="BE33" s="120"/>
    </row>
    <row r="34" spans="1:57" ht="13.5" thickTop="1" x14ac:dyDescent="0.2">
      <c r="A34" s="120"/>
      <c r="B34" s="120" t="str">
        <f t="shared" ref="B34:BC34" si="6">IF(B16=0,"",(B33/B16))</f>
        <v/>
      </c>
      <c r="C34" s="120">
        <f t="shared" si="6"/>
        <v>1.0181786941580755</v>
      </c>
      <c r="D34" s="120" t="str">
        <f t="shared" si="6"/>
        <v/>
      </c>
      <c r="E34" s="120">
        <f t="shared" si="6"/>
        <v>4.6588636363636358</v>
      </c>
      <c r="F34" s="120">
        <f t="shared" si="6"/>
        <v>0.79688499226405363</v>
      </c>
      <c r="G34" s="120" t="str">
        <f t="shared" si="6"/>
        <v/>
      </c>
      <c r="H34" s="120">
        <f t="shared" si="6"/>
        <v>0.87614241001564963</v>
      </c>
      <c r="I34" s="120">
        <f t="shared" si="6"/>
        <v>0.76293787575150296</v>
      </c>
      <c r="J34" s="120" t="str">
        <f t="shared" si="6"/>
        <v/>
      </c>
      <c r="K34" s="120">
        <f t="shared" si="6"/>
        <v>0.93266146993318466</v>
      </c>
      <c r="L34" s="120">
        <f t="shared" si="6"/>
        <v>2.6298947368421057</v>
      </c>
      <c r="M34" s="120">
        <f t="shared" si="6"/>
        <v>0.83235294117647063</v>
      </c>
      <c r="N34" s="120">
        <f t="shared" si="6"/>
        <v>1.8503012048192777</v>
      </c>
      <c r="O34" s="120">
        <f t="shared" si="6"/>
        <v>0.84373423044575269</v>
      </c>
      <c r="P34" s="120">
        <f t="shared" si="6"/>
        <v>1.1715297450424931</v>
      </c>
      <c r="Q34" s="120">
        <f t="shared" si="6"/>
        <v>0.76837045285820338</v>
      </c>
      <c r="R34" s="120">
        <f t="shared" si="6"/>
        <v>1.0644401544401543</v>
      </c>
      <c r="S34" s="120">
        <f t="shared" si="6"/>
        <v>0.72463964757709254</v>
      </c>
      <c r="T34" s="120" t="str">
        <f t="shared" si="6"/>
        <v/>
      </c>
      <c r="U34" s="120">
        <f t="shared" si="6"/>
        <v>2.589325842696629</v>
      </c>
      <c r="V34" s="120">
        <f t="shared" si="6"/>
        <v>0.82998399146211321</v>
      </c>
      <c r="W34" s="120">
        <f t="shared" si="6"/>
        <v>4.6182222222222222</v>
      </c>
      <c r="X34" s="120" t="str">
        <f t="shared" si="6"/>
        <v/>
      </c>
      <c r="Y34" s="120">
        <f t="shared" si="6"/>
        <v>0.71602122641509436</v>
      </c>
      <c r="Z34" s="120">
        <f t="shared" si="6"/>
        <v>0.82393391521197001</v>
      </c>
      <c r="AA34" s="120">
        <f t="shared" si="6"/>
        <v>0.67841818721747449</v>
      </c>
      <c r="AB34" s="120">
        <f t="shared" si="6"/>
        <v>0.70975310834813499</v>
      </c>
      <c r="AC34" s="120">
        <f t="shared" si="6"/>
        <v>0.63717391304347826</v>
      </c>
      <c r="AD34" s="120" t="str">
        <f t="shared" si="6"/>
        <v/>
      </c>
      <c r="AE34" s="120">
        <f t="shared" si="6"/>
        <v>0</v>
      </c>
      <c r="AF34" s="120">
        <f t="shared" si="6"/>
        <v>0.47995770495521034</v>
      </c>
      <c r="AG34" s="120">
        <f t="shared" si="6"/>
        <v>0.48712960082243295</v>
      </c>
      <c r="AH34" s="120">
        <f t="shared" si="6"/>
        <v>0.44633425043107822</v>
      </c>
      <c r="AI34" s="120" t="str">
        <f t="shared" si="6"/>
        <v/>
      </c>
      <c r="AJ34" s="120">
        <f t="shared" si="6"/>
        <v>0.62144143820869813</v>
      </c>
      <c r="AK34" s="120" t="str">
        <f t="shared" si="6"/>
        <v/>
      </c>
      <c r="AL34" s="120">
        <f t="shared" si="6"/>
        <v>0.48804459418934892</v>
      </c>
      <c r="AM34" s="120">
        <f t="shared" si="6"/>
        <v>0.60098261399117847</v>
      </c>
      <c r="AN34" s="120">
        <f t="shared" si="6"/>
        <v>0.5086650807753671</v>
      </c>
      <c r="AO34" s="120">
        <f t="shared" si="6"/>
        <v>0.2214890364196109</v>
      </c>
      <c r="AP34" s="120">
        <f t="shared" si="6"/>
        <v>0.46245339657688739</v>
      </c>
      <c r="AQ34" s="120">
        <f t="shared" si="6"/>
        <v>0.50674396183036263</v>
      </c>
      <c r="AR34" s="120">
        <f t="shared" si="6"/>
        <v>0.46048805432826057</v>
      </c>
      <c r="AS34" s="120">
        <f t="shared" si="6"/>
        <v>0.4923442767921295</v>
      </c>
      <c r="AT34" s="120">
        <f t="shared" si="6"/>
        <v>0.49660378200645711</v>
      </c>
      <c r="AU34" s="120" t="str">
        <f t="shared" si="6"/>
        <v/>
      </c>
      <c r="AV34" s="120">
        <f t="shared" si="6"/>
        <v>3.5998113207547169</v>
      </c>
      <c r="AW34" s="120">
        <f t="shared" si="6"/>
        <v>0.88818334735071502</v>
      </c>
      <c r="AX34" s="120">
        <f t="shared" si="6"/>
        <v>0.49456455571919489</v>
      </c>
      <c r="AY34" s="120">
        <f t="shared" si="6"/>
        <v>0.80702725366876316</v>
      </c>
      <c r="AZ34" s="120" t="str">
        <f t="shared" si="6"/>
        <v/>
      </c>
      <c r="BA34" s="120">
        <f t="shared" si="6"/>
        <v>0.5381326450805568</v>
      </c>
      <c r="BB34" s="120">
        <f t="shared" si="6"/>
        <v>0.96274647887323939</v>
      </c>
      <c r="BC34" s="120" t="str">
        <f t="shared" si="6"/>
        <v/>
      </c>
      <c r="BD34" s="120">
        <f>IF(BD16=0,"",(BD33/BD16))</f>
        <v>0.49875054478099801</v>
      </c>
      <c r="BE34" s="1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4"/>
  <sheetViews>
    <sheetView topLeftCell="AG1" workbookViewId="0">
      <selection activeCell="C14" sqref="C14"/>
    </sheetView>
  </sheetViews>
  <sheetFormatPr defaultRowHeight="12.75" x14ac:dyDescent="0.2"/>
  <cols>
    <col min="3" max="3" width="11.85546875" customWidth="1"/>
    <col min="6" max="6" width="11.7109375" customWidth="1"/>
    <col min="8" max="8" width="10.28515625" customWidth="1"/>
    <col min="9" max="9" width="11.140625" customWidth="1"/>
    <col min="11" max="11" width="10.140625" customWidth="1"/>
    <col min="14" max="14" width="10.28515625" customWidth="1"/>
    <col min="15" max="15" width="11.28515625" customWidth="1"/>
    <col min="17" max="17" width="13" customWidth="1"/>
    <col min="19" max="19" width="12.85546875" customWidth="1"/>
    <col min="22" max="22" width="10.7109375" customWidth="1"/>
    <col min="24" max="25" width="11.5703125" customWidth="1"/>
    <col min="26" max="26" width="12.7109375" customWidth="1"/>
    <col min="27" max="28" width="13" customWidth="1"/>
    <col min="32" max="33" width="11.28515625" customWidth="1"/>
    <col min="34" max="34" width="10.85546875" customWidth="1"/>
    <col min="36" max="36" width="12.140625" customWidth="1"/>
    <col min="38" max="38" width="10.42578125" customWidth="1"/>
    <col min="39" max="39" width="11.5703125" customWidth="1"/>
    <col min="40" max="40" width="10.85546875" customWidth="1"/>
    <col min="41" max="41" width="11" customWidth="1"/>
    <col min="42" max="42" width="11.42578125" customWidth="1"/>
    <col min="43" max="43" width="12.42578125" customWidth="1"/>
    <col min="44" max="44" width="12.140625" customWidth="1"/>
    <col min="45" max="45" width="12" customWidth="1"/>
    <col min="46" max="46" width="11.85546875" customWidth="1"/>
    <col min="50" max="50" width="11" customWidth="1"/>
    <col min="51" max="51" width="9.85546875" customWidth="1"/>
    <col min="53" max="53" width="11.42578125" customWidth="1"/>
    <col min="55" max="55" width="9.85546875" customWidth="1"/>
    <col min="56" max="56" width="11.85546875" customWidth="1"/>
    <col min="57" max="57" width="12.28515625" customWidth="1"/>
    <col min="58" max="58" width="13" customWidth="1"/>
    <col min="59" max="59" width="12" customWidth="1"/>
    <col min="60" max="61" width="12.28515625" customWidth="1"/>
  </cols>
  <sheetData>
    <row r="1" spans="1:61" x14ac:dyDescent="0.2">
      <c r="A1" s="1" t="s">
        <v>64</v>
      </c>
      <c r="B1" s="47">
        <v>594386</v>
      </c>
      <c r="C1" s="26">
        <v>1588956</v>
      </c>
      <c r="D1" s="26"/>
      <c r="E1" s="48">
        <v>33513</v>
      </c>
      <c r="F1" s="48">
        <v>33514</v>
      </c>
      <c r="G1" s="48">
        <v>105744</v>
      </c>
      <c r="H1" s="49">
        <v>263686</v>
      </c>
      <c r="I1" s="26">
        <v>263691</v>
      </c>
      <c r="J1" s="48">
        <v>263754</v>
      </c>
      <c r="K1" s="48">
        <v>539243</v>
      </c>
      <c r="L1" s="26">
        <v>539246</v>
      </c>
      <c r="M1" s="26">
        <v>574126</v>
      </c>
      <c r="N1" s="26">
        <v>637887</v>
      </c>
      <c r="O1" s="26">
        <v>637888</v>
      </c>
      <c r="P1" s="26">
        <v>637889</v>
      </c>
      <c r="Q1" s="26">
        <v>637890</v>
      </c>
      <c r="R1" s="26">
        <v>637892</v>
      </c>
      <c r="S1" s="26">
        <v>647598</v>
      </c>
      <c r="T1" s="26">
        <v>647856</v>
      </c>
      <c r="U1" s="26">
        <v>687022</v>
      </c>
      <c r="V1" s="26">
        <v>687023</v>
      </c>
      <c r="W1" s="26">
        <v>687831</v>
      </c>
      <c r="X1" s="26">
        <v>740818</v>
      </c>
      <c r="Y1" s="26">
        <v>740824</v>
      </c>
      <c r="Z1" s="26">
        <v>740838</v>
      </c>
      <c r="AA1" s="26">
        <v>740876</v>
      </c>
      <c r="AB1" s="26">
        <v>740882</v>
      </c>
      <c r="AC1" s="50">
        <v>741089</v>
      </c>
      <c r="AD1" s="50">
        <v>742815</v>
      </c>
      <c r="AE1" s="26">
        <v>742950</v>
      </c>
      <c r="AF1" s="50">
        <v>749325</v>
      </c>
      <c r="AG1" s="51">
        <v>749330</v>
      </c>
      <c r="AH1" s="50">
        <v>749334</v>
      </c>
      <c r="AI1" s="52">
        <v>749339</v>
      </c>
      <c r="AJ1" s="53">
        <v>762803</v>
      </c>
      <c r="AK1" s="54">
        <v>765933</v>
      </c>
      <c r="AL1" s="53">
        <v>868849</v>
      </c>
      <c r="AM1" s="53">
        <v>869044</v>
      </c>
      <c r="AN1" s="53">
        <v>869127</v>
      </c>
      <c r="AO1" s="53">
        <v>869308</v>
      </c>
      <c r="AP1" s="53">
        <v>869309</v>
      </c>
      <c r="AQ1" s="53">
        <v>869446</v>
      </c>
      <c r="AR1" s="53">
        <v>888353</v>
      </c>
      <c r="AS1" s="53">
        <v>888354</v>
      </c>
      <c r="AT1" s="53">
        <v>888355</v>
      </c>
      <c r="AU1" s="48">
        <v>1060882</v>
      </c>
      <c r="AV1" s="26">
        <v>1064052</v>
      </c>
      <c r="AW1" s="7" t="s">
        <v>2</v>
      </c>
      <c r="AX1" s="44">
        <v>672937</v>
      </c>
      <c r="AY1" s="7">
        <v>1342205</v>
      </c>
      <c r="AZ1" s="7">
        <v>3452105</v>
      </c>
      <c r="BA1" s="7">
        <v>9224993</v>
      </c>
      <c r="BB1" s="7">
        <v>10471</v>
      </c>
      <c r="BC1" s="1">
        <v>10511133</v>
      </c>
      <c r="BD1" s="1">
        <v>7519036</v>
      </c>
      <c r="BE1" s="7">
        <v>8395898</v>
      </c>
      <c r="BF1" s="7">
        <v>8395895</v>
      </c>
      <c r="BG1" s="7" t="s">
        <v>83</v>
      </c>
      <c r="BH1" s="7">
        <v>6400406302</v>
      </c>
      <c r="BI1" s="7" t="s">
        <v>87</v>
      </c>
    </row>
    <row r="2" spans="1:61" ht="51" x14ac:dyDescent="0.2">
      <c r="A2" s="99">
        <v>2019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80</v>
      </c>
      <c r="BE2" s="105" t="s">
        <v>81</v>
      </c>
      <c r="BF2" s="105" t="s">
        <v>82</v>
      </c>
      <c r="BG2" s="105" t="s">
        <v>84</v>
      </c>
      <c r="BH2" s="105" t="s">
        <v>85</v>
      </c>
      <c r="BI2" s="105" t="s">
        <v>88</v>
      </c>
    </row>
    <row r="3" spans="1:61" x14ac:dyDescent="0.2">
      <c r="A3" s="26" t="s">
        <v>59</v>
      </c>
      <c r="C3">
        <v>139</v>
      </c>
      <c r="E3">
        <v>0</v>
      </c>
      <c r="F3">
        <v>408</v>
      </c>
      <c r="H3">
        <v>308</v>
      </c>
      <c r="I3">
        <v>1230</v>
      </c>
      <c r="K3">
        <v>214</v>
      </c>
      <c r="L3">
        <v>8</v>
      </c>
      <c r="M3">
        <v>83</v>
      </c>
      <c r="N3">
        <v>0</v>
      </c>
      <c r="O3">
        <v>450</v>
      </c>
      <c r="P3">
        <v>119</v>
      </c>
      <c r="Q3">
        <v>723</v>
      </c>
      <c r="R3">
        <v>123</v>
      </c>
      <c r="S3">
        <v>675</v>
      </c>
      <c r="U3">
        <v>17</v>
      </c>
      <c r="V3">
        <v>420</v>
      </c>
      <c r="W3">
        <v>6</v>
      </c>
      <c r="X3">
        <v>0</v>
      </c>
      <c r="Y3">
        <v>1870</v>
      </c>
      <c r="Z3">
        <v>404</v>
      </c>
      <c r="AA3">
        <v>6155</v>
      </c>
      <c r="AB3">
        <v>1073</v>
      </c>
      <c r="AC3">
        <v>20</v>
      </c>
      <c r="AD3">
        <v>0</v>
      </c>
      <c r="AE3">
        <v>97</v>
      </c>
      <c r="AF3">
        <v>305</v>
      </c>
      <c r="AG3">
        <v>9619</v>
      </c>
      <c r="AH3">
        <v>17341</v>
      </c>
      <c r="AJ3">
        <v>0</v>
      </c>
      <c r="AL3">
        <v>959</v>
      </c>
      <c r="AM3">
        <v>10259</v>
      </c>
      <c r="AN3">
        <v>10210</v>
      </c>
      <c r="AO3">
        <v>915</v>
      </c>
      <c r="AP3">
        <v>3029</v>
      </c>
      <c r="AQ3">
        <v>5491</v>
      </c>
      <c r="AR3">
        <v>0</v>
      </c>
      <c r="AS3">
        <v>2865</v>
      </c>
      <c r="AT3">
        <v>0</v>
      </c>
      <c r="AV3">
        <v>2</v>
      </c>
      <c r="AW3">
        <v>240</v>
      </c>
      <c r="AX3">
        <v>0</v>
      </c>
      <c r="AY3">
        <v>528</v>
      </c>
      <c r="AZ3">
        <v>0</v>
      </c>
      <c r="BA3">
        <v>0</v>
      </c>
      <c r="BB3">
        <v>138</v>
      </c>
      <c r="BC3">
        <v>0</v>
      </c>
      <c r="BD3">
        <v>45663</v>
      </c>
      <c r="BE3">
        <v>36430</v>
      </c>
      <c r="BF3">
        <v>61508</v>
      </c>
      <c r="BG3">
        <v>0</v>
      </c>
      <c r="BH3">
        <v>0</v>
      </c>
      <c r="BI3">
        <v>0</v>
      </c>
    </row>
    <row r="4" spans="1:61" x14ac:dyDescent="0.2">
      <c r="A4" s="25" t="s">
        <v>42</v>
      </c>
      <c r="C4">
        <v>129</v>
      </c>
      <c r="E4">
        <v>0</v>
      </c>
      <c r="F4">
        <v>330</v>
      </c>
      <c r="H4">
        <v>343</v>
      </c>
      <c r="I4">
        <v>1190</v>
      </c>
      <c r="K4">
        <v>200</v>
      </c>
      <c r="L4">
        <v>11</v>
      </c>
      <c r="M4">
        <v>106</v>
      </c>
      <c r="N4">
        <v>0</v>
      </c>
      <c r="O4">
        <v>376</v>
      </c>
      <c r="P4">
        <v>141</v>
      </c>
      <c r="Q4">
        <v>419</v>
      </c>
      <c r="R4">
        <v>90</v>
      </c>
      <c r="S4">
        <v>649</v>
      </c>
      <c r="U4">
        <v>20</v>
      </c>
      <c r="V4">
        <v>490</v>
      </c>
      <c r="W4">
        <v>5</v>
      </c>
      <c r="X4">
        <v>0</v>
      </c>
      <c r="Y4">
        <v>1695</v>
      </c>
      <c r="Z4">
        <v>352</v>
      </c>
      <c r="AA4">
        <v>6571</v>
      </c>
      <c r="AB4">
        <v>916</v>
      </c>
      <c r="AC4">
        <v>90</v>
      </c>
      <c r="AD4">
        <v>0</v>
      </c>
      <c r="AE4">
        <v>74</v>
      </c>
      <c r="AF4">
        <v>131</v>
      </c>
      <c r="AG4">
        <v>839</v>
      </c>
      <c r="AH4">
        <v>1557</v>
      </c>
      <c r="AJ4">
        <v>0</v>
      </c>
      <c r="AL4">
        <v>191</v>
      </c>
      <c r="AM4">
        <v>7527</v>
      </c>
      <c r="AN4">
        <v>6536</v>
      </c>
      <c r="AO4">
        <v>0</v>
      </c>
      <c r="AP4">
        <v>1820</v>
      </c>
      <c r="AQ4">
        <v>5964</v>
      </c>
      <c r="AR4">
        <v>0</v>
      </c>
      <c r="AS4">
        <v>261</v>
      </c>
      <c r="AT4">
        <v>0</v>
      </c>
      <c r="AV4">
        <v>3</v>
      </c>
      <c r="AW4">
        <v>237</v>
      </c>
      <c r="AX4">
        <v>0</v>
      </c>
      <c r="AY4">
        <v>592</v>
      </c>
      <c r="AZ4">
        <v>0</v>
      </c>
      <c r="BA4">
        <v>0</v>
      </c>
      <c r="BB4">
        <v>170</v>
      </c>
      <c r="BC4">
        <v>0</v>
      </c>
      <c r="BD4">
        <v>39498</v>
      </c>
      <c r="BE4">
        <v>34949</v>
      </c>
      <c r="BF4">
        <v>35614</v>
      </c>
      <c r="BG4">
        <v>0</v>
      </c>
      <c r="BH4">
        <v>2503</v>
      </c>
    </row>
    <row r="5" spans="1:61" x14ac:dyDescent="0.2">
      <c r="A5" s="25" t="s">
        <v>43</v>
      </c>
      <c r="C5">
        <v>39</v>
      </c>
      <c r="E5">
        <v>0</v>
      </c>
      <c r="F5">
        <v>281</v>
      </c>
      <c r="H5">
        <v>78</v>
      </c>
      <c r="I5">
        <v>670</v>
      </c>
      <c r="K5">
        <v>114</v>
      </c>
      <c r="L5">
        <v>8</v>
      </c>
      <c r="M5">
        <v>32</v>
      </c>
      <c r="N5">
        <v>7091</v>
      </c>
      <c r="O5">
        <v>2108</v>
      </c>
      <c r="P5">
        <v>121</v>
      </c>
      <c r="Q5">
        <v>276</v>
      </c>
      <c r="R5">
        <v>67</v>
      </c>
      <c r="S5">
        <v>11344</v>
      </c>
      <c r="U5">
        <v>4959</v>
      </c>
      <c r="V5">
        <v>1559</v>
      </c>
      <c r="W5">
        <v>6</v>
      </c>
      <c r="X5">
        <v>0</v>
      </c>
      <c r="Y5">
        <v>9746</v>
      </c>
      <c r="Z5">
        <v>4197</v>
      </c>
      <c r="AA5">
        <v>78577</v>
      </c>
      <c r="AB5">
        <v>970</v>
      </c>
      <c r="AC5">
        <v>44</v>
      </c>
      <c r="AD5">
        <v>0</v>
      </c>
      <c r="AE5">
        <v>54</v>
      </c>
      <c r="AF5">
        <v>131</v>
      </c>
      <c r="AG5">
        <v>1813</v>
      </c>
      <c r="AH5">
        <v>1557</v>
      </c>
      <c r="AJ5">
        <v>0</v>
      </c>
      <c r="AL5">
        <v>0</v>
      </c>
      <c r="AM5">
        <v>4147</v>
      </c>
      <c r="AN5">
        <v>786</v>
      </c>
      <c r="AO5">
        <v>0</v>
      </c>
      <c r="AP5">
        <v>290</v>
      </c>
      <c r="AQ5">
        <v>551</v>
      </c>
      <c r="AR5">
        <v>0</v>
      </c>
      <c r="AS5">
        <v>197</v>
      </c>
      <c r="AT5">
        <v>0</v>
      </c>
      <c r="AV5">
        <v>2714</v>
      </c>
      <c r="AW5">
        <v>162</v>
      </c>
      <c r="AX5">
        <v>0</v>
      </c>
      <c r="AY5">
        <v>256</v>
      </c>
      <c r="AZ5">
        <v>1558</v>
      </c>
      <c r="BA5">
        <v>0</v>
      </c>
      <c r="BB5">
        <v>107</v>
      </c>
      <c r="BC5">
        <v>0</v>
      </c>
      <c r="BD5">
        <v>45309</v>
      </c>
      <c r="BE5">
        <v>31469</v>
      </c>
      <c r="BF5">
        <v>46751</v>
      </c>
      <c r="BG5">
        <v>0</v>
      </c>
      <c r="BH5">
        <v>2031</v>
      </c>
    </row>
    <row r="6" spans="1:61" x14ac:dyDescent="0.2">
      <c r="A6" s="25" t="s">
        <v>44</v>
      </c>
      <c r="C6">
        <v>8</v>
      </c>
      <c r="E6">
        <v>0</v>
      </c>
      <c r="F6">
        <v>10</v>
      </c>
      <c r="H6">
        <v>10</v>
      </c>
      <c r="I6">
        <v>455</v>
      </c>
      <c r="K6">
        <v>30</v>
      </c>
      <c r="L6">
        <v>8</v>
      </c>
      <c r="M6">
        <v>2</v>
      </c>
      <c r="N6">
        <v>1</v>
      </c>
      <c r="O6">
        <v>17</v>
      </c>
      <c r="P6">
        <v>63</v>
      </c>
      <c r="Q6">
        <v>35</v>
      </c>
      <c r="R6">
        <v>4</v>
      </c>
      <c r="S6">
        <v>54</v>
      </c>
      <c r="U6">
        <v>15</v>
      </c>
      <c r="V6">
        <v>75</v>
      </c>
      <c r="W6">
        <v>4</v>
      </c>
      <c r="X6">
        <v>0</v>
      </c>
      <c r="Y6">
        <v>291</v>
      </c>
      <c r="Z6">
        <v>31</v>
      </c>
      <c r="AA6">
        <v>1289</v>
      </c>
      <c r="AB6">
        <v>436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J6">
        <v>0</v>
      </c>
      <c r="AL6">
        <v>0</v>
      </c>
      <c r="AM6">
        <v>2840</v>
      </c>
      <c r="AN6">
        <v>234</v>
      </c>
      <c r="AO6">
        <v>0</v>
      </c>
      <c r="AP6">
        <v>125</v>
      </c>
      <c r="AQ6">
        <v>455</v>
      </c>
      <c r="AR6">
        <v>0</v>
      </c>
      <c r="AS6">
        <v>26</v>
      </c>
      <c r="AT6">
        <v>0</v>
      </c>
      <c r="AV6">
        <v>2</v>
      </c>
      <c r="AW6">
        <v>47</v>
      </c>
      <c r="AX6">
        <v>0</v>
      </c>
      <c r="AY6">
        <v>45</v>
      </c>
      <c r="AZ6">
        <v>0</v>
      </c>
      <c r="BA6">
        <v>0</v>
      </c>
      <c r="BB6">
        <v>31</v>
      </c>
      <c r="BC6">
        <v>0</v>
      </c>
      <c r="BD6">
        <v>42016</v>
      </c>
      <c r="BE6">
        <v>33803</v>
      </c>
      <c r="BF6">
        <v>59810</v>
      </c>
      <c r="BG6">
        <v>0</v>
      </c>
      <c r="BH6">
        <v>161</v>
      </c>
    </row>
    <row r="7" spans="1:61" x14ac:dyDescent="0.2">
      <c r="A7" s="25" t="s">
        <v>45</v>
      </c>
      <c r="C7">
        <v>7</v>
      </c>
      <c r="E7">
        <v>0</v>
      </c>
      <c r="F7">
        <v>5</v>
      </c>
      <c r="H7">
        <v>10</v>
      </c>
      <c r="I7">
        <v>4</v>
      </c>
      <c r="K7">
        <v>4</v>
      </c>
      <c r="L7">
        <v>8</v>
      </c>
      <c r="M7">
        <v>0</v>
      </c>
      <c r="N7">
        <v>0</v>
      </c>
      <c r="O7">
        <v>0</v>
      </c>
      <c r="P7">
        <v>25</v>
      </c>
      <c r="Q7">
        <v>6</v>
      </c>
      <c r="R7">
        <v>4</v>
      </c>
      <c r="S7">
        <v>0</v>
      </c>
      <c r="U7">
        <v>12</v>
      </c>
      <c r="V7">
        <v>5</v>
      </c>
      <c r="W7">
        <v>3</v>
      </c>
      <c r="X7">
        <v>0</v>
      </c>
      <c r="Y7">
        <v>35</v>
      </c>
      <c r="Z7">
        <v>0</v>
      </c>
      <c r="AA7">
        <v>191</v>
      </c>
      <c r="AB7">
        <v>314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J7">
        <v>0</v>
      </c>
      <c r="AL7">
        <v>0</v>
      </c>
      <c r="AM7">
        <v>2302</v>
      </c>
      <c r="AN7">
        <v>4</v>
      </c>
      <c r="AO7">
        <v>0</v>
      </c>
      <c r="AP7">
        <v>16</v>
      </c>
      <c r="AQ7">
        <v>1112</v>
      </c>
      <c r="AR7">
        <v>2</v>
      </c>
      <c r="AS7">
        <v>0</v>
      </c>
      <c r="AT7">
        <v>0</v>
      </c>
      <c r="AV7">
        <v>2</v>
      </c>
      <c r="AW7">
        <v>12</v>
      </c>
      <c r="AX7">
        <v>0</v>
      </c>
      <c r="AY7">
        <v>0</v>
      </c>
      <c r="AZ7">
        <v>0</v>
      </c>
      <c r="BA7">
        <v>0</v>
      </c>
      <c r="BB7">
        <v>16</v>
      </c>
      <c r="BC7">
        <v>0</v>
      </c>
      <c r="BD7">
        <v>39742</v>
      </c>
      <c r="BE7">
        <v>29990</v>
      </c>
      <c r="BF7">
        <v>64122</v>
      </c>
      <c r="BG7">
        <v>0</v>
      </c>
      <c r="BH7">
        <v>35</v>
      </c>
    </row>
    <row r="8" spans="1:61" x14ac:dyDescent="0.2">
      <c r="A8" s="25" t="s">
        <v>46</v>
      </c>
      <c r="C8">
        <v>8</v>
      </c>
      <c r="E8">
        <v>0</v>
      </c>
      <c r="F8">
        <v>6</v>
      </c>
      <c r="H8">
        <v>10</v>
      </c>
      <c r="I8">
        <v>0</v>
      </c>
      <c r="K8">
        <v>0</v>
      </c>
      <c r="L8">
        <v>7</v>
      </c>
      <c r="M8">
        <v>0</v>
      </c>
      <c r="N8">
        <v>0</v>
      </c>
      <c r="O8">
        <v>1</v>
      </c>
      <c r="P8">
        <v>14</v>
      </c>
      <c r="Q8">
        <v>1</v>
      </c>
      <c r="R8">
        <v>3</v>
      </c>
      <c r="S8">
        <v>0</v>
      </c>
      <c r="U8">
        <v>10</v>
      </c>
      <c r="V8">
        <v>5</v>
      </c>
      <c r="W8">
        <v>3</v>
      </c>
      <c r="X8">
        <v>0</v>
      </c>
      <c r="Y8">
        <v>22</v>
      </c>
      <c r="Z8">
        <v>1</v>
      </c>
      <c r="AA8">
        <v>170</v>
      </c>
      <c r="AB8">
        <v>501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J8">
        <v>0</v>
      </c>
      <c r="AL8">
        <v>3</v>
      </c>
      <c r="AM8">
        <v>2187</v>
      </c>
      <c r="AN8">
        <v>0</v>
      </c>
      <c r="AO8">
        <v>0</v>
      </c>
      <c r="AP8">
        <v>0</v>
      </c>
      <c r="AQ8">
        <v>1147</v>
      </c>
      <c r="AR8">
        <v>0</v>
      </c>
      <c r="AS8">
        <v>0</v>
      </c>
      <c r="AT8">
        <v>0</v>
      </c>
      <c r="AV8">
        <v>2</v>
      </c>
      <c r="AW8">
        <v>1</v>
      </c>
      <c r="AX8">
        <v>0</v>
      </c>
      <c r="AY8">
        <v>0</v>
      </c>
      <c r="AZ8">
        <v>0</v>
      </c>
      <c r="BA8">
        <v>0</v>
      </c>
      <c r="BB8">
        <v>16</v>
      </c>
      <c r="BC8">
        <v>0</v>
      </c>
      <c r="BD8">
        <v>30892</v>
      </c>
      <c r="BE8">
        <v>29990</v>
      </c>
      <c r="BF8">
        <v>62706</v>
      </c>
      <c r="BG8">
        <v>0</v>
      </c>
      <c r="BH8">
        <v>13</v>
      </c>
    </row>
    <row r="9" spans="1:61" x14ac:dyDescent="0.2">
      <c r="A9" s="25" t="s">
        <v>47</v>
      </c>
      <c r="C9">
        <v>8</v>
      </c>
      <c r="E9">
        <v>0</v>
      </c>
      <c r="F9">
        <v>6</v>
      </c>
      <c r="H9">
        <v>10</v>
      </c>
      <c r="I9">
        <v>0</v>
      </c>
      <c r="K9">
        <v>0</v>
      </c>
      <c r="L9">
        <v>6</v>
      </c>
      <c r="M9">
        <v>0</v>
      </c>
      <c r="N9">
        <v>0</v>
      </c>
      <c r="O9">
        <v>0</v>
      </c>
      <c r="P9">
        <v>11</v>
      </c>
      <c r="Q9">
        <v>3</v>
      </c>
      <c r="R9">
        <v>4</v>
      </c>
      <c r="S9">
        <v>0</v>
      </c>
      <c r="U9">
        <v>8</v>
      </c>
      <c r="V9">
        <v>5</v>
      </c>
      <c r="W9">
        <v>2</v>
      </c>
      <c r="X9">
        <v>0</v>
      </c>
      <c r="Y9">
        <v>25</v>
      </c>
      <c r="Z9">
        <v>0</v>
      </c>
      <c r="AA9">
        <v>183</v>
      </c>
      <c r="AB9">
        <v>443</v>
      </c>
      <c r="AC9">
        <v>0</v>
      </c>
      <c r="AD9">
        <v>0</v>
      </c>
      <c r="AE9">
        <v>2</v>
      </c>
      <c r="AF9">
        <v>0</v>
      </c>
      <c r="AG9">
        <v>0</v>
      </c>
      <c r="AH9">
        <v>0</v>
      </c>
      <c r="AJ9">
        <v>0</v>
      </c>
      <c r="AL9">
        <v>113</v>
      </c>
      <c r="AM9">
        <v>1200</v>
      </c>
      <c r="AN9">
        <v>4</v>
      </c>
      <c r="AO9">
        <v>0</v>
      </c>
      <c r="AP9">
        <v>0</v>
      </c>
      <c r="AQ9">
        <v>1372</v>
      </c>
      <c r="AR9">
        <v>2743</v>
      </c>
      <c r="AS9">
        <v>0</v>
      </c>
      <c r="AT9">
        <v>0</v>
      </c>
      <c r="AV9">
        <v>2</v>
      </c>
      <c r="AW9">
        <v>3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30296</v>
      </c>
      <c r="BE9">
        <v>23239</v>
      </c>
      <c r="BF9">
        <v>57768</v>
      </c>
      <c r="BG9">
        <v>0</v>
      </c>
      <c r="BH9">
        <v>13</v>
      </c>
    </row>
    <row r="10" spans="1:61" x14ac:dyDescent="0.2">
      <c r="A10" s="25" t="s">
        <v>48</v>
      </c>
      <c r="C10">
        <v>8</v>
      </c>
      <c r="E10">
        <v>0</v>
      </c>
      <c r="F10">
        <v>5</v>
      </c>
      <c r="H10">
        <v>9</v>
      </c>
      <c r="I10">
        <v>0</v>
      </c>
      <c r="K10">
        <v>0</v>
      </c>
      <c r="L10">
        <v>5</v>
      </c>
      <c r="M10">
        <v>0</v>
      </c>
      <c r="N10">
        <v>1</v>
      </c>
      <c r="O10">
        <v>0</v>
      </c>
      <c r="P10">
        <v>12</v>
      </c>
      <c r="Q10">
        <v>2</v>
      </c>
      <c r="R10">
        <v>4</v>
      </c>
      <c r="S10">
        <v>61</v>
      </c>
      <c r="U10">
        <v>9</v>
      </c>
      <c r="V10">
        <v>5</v>
      </c>
      <c r="W10">
        <v>3</v>
      </c>
      <c r="X10">
        <v>0</v>
      </c>
      <c r="Y10">
        <v>23</v>
      </c>
      <c r="Z10">
        <v>0</v>
      </c>
      <c r="AA10">
        <v>177</v>
      </c>
      <c r="AB10">
        <v>63</v>
      </c>
      <c r="AC10">
        <v>0</v>
      </c>
      <c r="AD10">
        <v>0</v>
      </c>
      <c r="AE10">
        <v>6</v>
      </c>
      <c r="AF10">
        <v>8</v>
      </c>
      <c r="AG10">
        <v>0</v>
      </c>
      <c r="AH10">
        <v>991</v>
      </c>
      <c r="AJ10">
        <v>2</v>
      </c>
      <c r="AL10">
        <v>9096</v>
      </c>
      <c r="AM10">
        <v>51</v>
      </c>
      <c r="AN10">
        <v>171</v>
      </c>
      <c r="AO10">
        <v>1807</v>
      </c>
      <c r="AP10">
        <v>2</v>
      </c>
      <c r="AQ10">
        <v>5</v>
      </c>
      <c r="AR10">
        <v>6</v>
      </c>
      <c r="AS10">
        <v>23322</v>
      </c>
      <c r="AT10">
        <v>0</v>
      </c>
      <c r="AV10">
        <v>2</v>
      </c>
      <c r="AW10">
        <v>5</v>
      </c>
      <c r="AX10">
        <v>802</v>
      </c>
      <c r="AY10">
        <v>0</v>
      </c>
      <c r="AZ10">
        <v>0</v>
      </c>
      <c r="BA10">
        <v>1004</v>
      </c>
      <c r="BB10">
        <v>0</v>
      </c>
      <c r="BC10">
        <v>0</v>
      </c>
      <c r="BD10">
        <v>35802</v>
      </c>
      <c r="BE10">
        <v>21203</v>
      </c>
      <c r="BF10">
        <v>43419</v>
      </c>
      <c r="BG10">
        <v>118</v>
      </c>
      <c r="BH10">
        <v>14</v>
      </c>
    </row>
    <row r="11" spans="1:61" x14ac:dyDescent="0.2">
      <c r="A11" s="25" t="s">
        <v>49</v>
      </c>
      <c r="C11">
        <v>7</v>
      </c>
      <c r="E11">
        <v>0</v>
      </c>
      <c r="F11">
        <v>5</v>
      </c>
      <c r="H11">
        <v>10</v>
      </c>
      <c r="I11">
        <v>0</v>
      </c>
      <c r="K11">
        <v>0</v>
      </c>
      <c r="L11">
        <v>5</v>
      </c>
      <c r="M11">
        <v>0</v>
      </c>
      <c r="N11">
        <v>0</v>
      </c>
      <c r="O11">
        <v>0</v>
      </c>
      <c r="P11">
        <v>10</v>
      </c>
      <c r="Q11">
        <v>5</v>
      </c>
      <c r="R11">
        <v>3</v>
      </c>
      <c r="S11">
        <v>497</v>
      </c>
      <c r="U11">
        <v>8</v>
      </c>
      <c r="V11">
        <v>5</v>
      </c>
      <c r="W11">
        <v>2</v>
      </c>
      <c r="X11">
        <v>0</v>
      </c>
      <c r="Y11">
        <v>22</v>
      </c>
      <c r="Z11">
        <v>0</v>
      </c>
      <c r="AA11">
        <v>156</v>
      </c>
      <c r="AB11">
        <v>307</v>
      </c>
      <c r="AC11">
        <v>0</v>
      </c>
      <c r="AD11">
        <v>0</v>
      </c>
      <c r="AE11">
        <v>16</v>
      </c>
      <c r="AF11">
        <v>21589</v>
      </c>
      <c r="AG11">
        <v>8737</v>
      </c>
      <c r="AH11">
        <v>30368</v>
      </c>
      <c r="AJ11">
        <v>8308</v>
      </c>
      <c r="AL11">
        <v>25681</v>
      </c>
      <c r="AM11">
        <v>21286</v>
      </c>
      <c r="AN11">
        <v>22126</v>
      </c>
      <c r="AO11">
        <v>44913</v>
      </c>
      <c r="AP11">
        <v>25635</v>
      </c>
      <c r="AQ11">
        <v>20567</v>
      </c>
      <c r="AR11">
        <v>0</v>
      </c>
      <c r="AS11">
        <v>30867</v>
      </c>
      <c r="AT11">
        <v>17130</v>
      </c>
      <c r="AV11">
        <v>2</v>
      </c>
      <c r="AW11">
        <v>3</v>
      </c>
      <c r="AX11">
        <v>15976</v>
      </c>
      <c r="AY11">
        <v>0</v>
      </c>
      <c r="AZ11">
        <v>0</v>
      </c>
      <c r="BA11">
        <v>102630</v>
      </c>
      <c r="BB11">
        <v>0</v>
      </c>
      <c r="BC11">
        <v>0</v>
      </c>
      <c r="BD11">
        <v>43977</v>
      </c>
      <c r="BE11">
        <v>27285</v>
      </c>
      <c r="BF11">
        <v>41880</v>
      </c>
      <c r="BG11">
        <v>54269</v>
      </c>
      <c r="BH11">
        <v>27</v>
      </c>
    </row>
    <row r="12" spans="1:61" x14ac:dyDescent="0.2">
      <c r="A12" s="25" t="s">
        <v>50</v>
      </c>
      <c r="C12">
        <v>11</v>
      </c>
      <c r="E12">
        <v>0</v>
      </c>
      <c r="F12">
        <v>6</v>
      </c>
      <c r="H12">
        <v>37</v>
      </c>
      <c r="I12">
        <v>63</v>
      </c>
      <c r="K12">
        <v>39</v>
      </c>
      <c r="L12">
        <v>8</v>
      </c>
      <c r="M12">
        <v>0</v>
      </c>
      <c r="N12">
        <v>0</v>
      </c>
      <c r="O12">
        <v>78</v>
      </c>
      <c r="P12">
        <v>8</v>
      </c>
      <c r="Q12">
        <v>92</v>
      </c>
      <c r="R12">
        <v>4</v>
      </c>
      <c r="S12">
        <v>547</v>
      </c>
      <c r="U12">
        <v>11</v>
      </c>
      <c r="V12">
        <v>157</v>
      </c>
      <c r="W12">
        <v>3</v>
      </c>
      <c r="X12">
        <v>0</v>
      </c>
      <c r="Y12">
        <v>596</v>
      </c>
      <c r="Z12">
        <v>34</v>
      </c>
      <c r="AA12">
        <v>2353</v>
      </c>
      <c r="AB12">
        <v>703</v>
      </c>
      <c r="AC12">
        <v>0</v>
      </c>
      <c r="AD12">
        <v>0</v>
      </c>
      <c r="AE12">
        <v>17</v>
      </c>
      <c r="AF12">
        <v>15259</v>
      </c>
      <c r="AG12">
        <v>24037</v>
      </c>
      <c r="AH12">
        <v>39885</v>
      </c>
      <c r="AJ12">
        <v>14094</v>
      </c>
      <c r="AL12">
        <v>5055</v>
      </c>
      <c r="AM12">
        <v>94964</v>
      </c>
      <c r="AN12">
        <v>36674</v>
      </c>
      <c r="AO12">
        <v>17431</v>
      </c>
      <c r="AP12">
        <v>66716</v>
      </c>
      <c r="AQ12">
        <v>40772</v>
      </c>
      <c r="AR12">
        <v>18259</v>
      </c>
      <c r="AS12">
        <v>919</v>
      </c>
      <c r="AT12">
        <v>24977</v>
      </c>
      <c r="AV12">
        <v>2</v>
      </c>
      <c r="AW12">
        <v>1</v>
      </c>
      <c r="AX12">
        <v>10550</v>
      </c>
      <c r="AY12">
        <v>111</v>
      </c>
      <c r="AZ12">
        <v>0</v>
      </c>
      <c r="BA12">
        <v>47050</v>
      </c>
      <c r="BB12">
        <v>33</v>
      </c>
      <c r="BC12">
        <v>0</v>
      </c>
      <c r="BD12">
        <v>45579</v>
      </c>
      <c r="BE12">
        <v>36161</v>
      </c>
      <c r="BF12">
        <v>56558</v>
      </c>
      <c r="BG12">
        <v>46671</v>
      </c>
      <c r="BH12">
        <v>546</v>
      </c>
    </row>
    <row r="13" spans="1:61" x14ac:dyDescent="0.2">
      <c r="A13" s="25" t="s">
        <v>51</v>
      </c>
      <c r="C13">
        <v>111</v>
      </c>
      <c r="E13">
        <v>0</v>
      </c>
      <c r="F13">
        <v>235</v>
      </c>
      <c r="H13">
        <v>218</v>
      </c>
      <c r="I13">
        <v>944</v>
      </c>
      <c r="K13">
        <v>149</v>
      </c>
      <c r="L13">
        <v>10</v>
      </c>
      <c r="M13">
        <v>40</v>
      </c>
      <c r="N13">
        <v>0</v>
      </c>
      <c r="O13">
        <v>307</v>
      </c>
      <c r="P13">
        <v>60</v>
      </c>
      <c r="Q13">
        <v>542</v>
      </c>
      <c r="R13">
        <v>67</v>
      </c>
      <c r="S13">
        <v>692</v>
      </c>
      <c r="U13">
        <v>19</v>
      </c>
      <c r="V13">
        <v>438</v>
      </c>
      <c r="W13">
        <v>5</v>
      </c>
      <c r="X13">
        <v>0</v>
      </c>
      <c r="Y13">
        <v>1498</v>
      </c>
      <c r="Z13">
        <v>308</v>
      </c>
      <c r="AA13">
        <v>4356</v>
      </c>
      <c r="AB13">
        <v>1567</v>
      </c>
      <c r="AC13">
        <v>0</v>
      </c>
      <c r="AD13">
        <v>0</v>
      </c>
      <c r="AE13">
        <v>30</v>
      </c>
      <c r="AF13">
        <v>13244</v>
      </c>
      <c r="AG13">
        <v>1743</v>
      </c>
      <c r="AH13">
        <v>7677</v>
      </c>
      <c r="AJ13">
        <v>7348</v>
      </c>
      <c r="AL13">
        <v>12300</v>
      </c>
      <c r="AM13">
        <v>53717</v>
      </c>
      <c r="AN13">
        <v>9556</v>
      </c>
      <c r="AO13">
        <v>4503</v>
      </c>
      <c r="AP13">
        <v>10335</v>
      </c>
      <c r="AQ13">
        <v>7224</v>
      </c>
      <c r="AR13">
        <v>0</v>
      </c>
      <c r="AS13">
        <v>126</v>
      </c>
      <c r="AT13">
        <v>6054</v>
      </c>
      <c r="AV13">
        <v>3</v>
      </c>
      <c r="AW13">
        <v>166</v>
      </c>
      <c r="AX13">
        <v>21491</v>
      </c>
      <c r="AY13">
        <v>391</v>
      </c>
      <c r="AZ13">
        <v>1</v>
      </c>
      <c r="BA13">
        <v>122378</v>
      </c>
      <c r="BB13">
        <v>96</v>
      </c>
      <c r="BC13">
        <v>0</v>
      </c>
      <c r="BD13">
        <v>43010</v>
      </c>
      <c r="BE13">
        <v>26466</v>
      </c>
      <c r="BF13">
        <v>51949</v>
      </c>
      <c r="BG13">
        <v>3013</v>
      </c>
      <c r="BH13">
        <v>2666</v>
      </c>
    </row>
    <row r="14" spans="1:61" x14ac:dyDescent="0.2">
      <c r="A14" s="25" t="s">
        <v>52</v>
      </c>
      <c r="C14">
        <v>154</v>
      </c>
      <c r="E14">
        <v>0</v>
      </c>
      <c r="F14">
        <v>378</v>
      </c>
      <c r="H14">
        <v>222</v>
      </c>
      <c r="I14">
        <v>1185</v>
      </c>
      <c r="K14">
        <v>174</v>
      </c>
      <c r="L14">
        <v>11</v>
      </c>
      <c r="M14">
        <v>61</v>
      </c>
      <c r="N14">
        <v>1</v>
      </c>
      <c r="O14">
        <v>256</v>
      </c>
      <c r="P14">
        <v>81</v>
      </c>
      <c r="Q14">
        <v>605</v>
      </c>
      <c r="R14">
        <v>52</v>
      </c>
      <c r="S14">
        <v>643</v>
      </c>
      <c r="U14">
        <v>17</v>
      </c>
      <c r="V14">
        <v>352</v>
      </c>
      <c r="W14">
        <v>5</v>
      </c>
      <c r="X14">
        <v>0</v>
      </c>
      <c r="Y14">
        <v>1763</v>
      </c>
      <c r="Z14">
        <v>256</v>
      </c>
      <c r="AA14">
        <v>4624</v>
      </c>
      <c r="AB14">
        <v>1235</v>
      </c>
      <c r="AC14">
        <v>0</v>
      </c>
      <c r="AD14">
        <v>0</v>
      </c>
      <c r="AE14">
        <v>149</v>
      </c>
      <c r="AF14">
        <v>0</v>
      </c>
      <c r="AG14">
        <v>843</v>
      </c>
      <c r="AH14">
        <v>1466</v>
      </c>
      <c r="AJ14">
        <v>1477</v>
      </c>
      <c r="AL14">
        <v>4343</v>
      </c>
      <c r="AM14">
        <v>22374</v>
      </c>
      <c r="AN14">
        <v>1512</v>
      </c>
      <c r="AP14">
        <v>13215</v>
      </c>
      <c r="AQ14">
        <v>9305</v>
      </c>
      <c r="AR14">
        <v>0</v>
      </c>
      <c r="AS14">
        <v>182</v>
      </c>
      <c r="AT14">
        <v>242</v>
      </c>
      <c r="AV14">
        <v>2</v>
      </c>
      <c r="AW14">
        <v>159</v>
      </c>
      <c r="AX14">
        <v>0</v>
      </c>
      <c r="AY14">
        <v>445</v>
      </c>
      <c r="AZ14">
        <v>0</v>
      </c>
      <c r="BA14">
        <v>5953</v>
      </c>
      <c r="BB14">
        <v>147</v>
      </c>
      <c r="BD14">
        <v>38290</v>
      </c>
      <c r="BE14">
        <v>33611</v>
      </c>
      <c r="BF14">
        <v>75615</v>
      </c>
      <c r="BG14">
        <v>196</v>
      </c>
      <c r="BH14">
        <v>2904</v>
      </c>
    </row>
    <row r="15" spans="1:61" ht="13.5" thickBot="1" x14ac:dyDescent="0.25">
      <c r="A15" s="92" t="s">
        <v>58</v>
      </c>
      <c r="B15" s="93">
        <f>SUM(B3:B14)/10</f>
        <v>0</v>
      </c>
      <c r="C15" s="93">
        <f>SUM(B20:B31)/10</f>
        <v>0</v>
      </c>
      <c r="D15" s="93"/>
      <c r="E15" s="94">
        <f>SUM(E3:E14)/10</f>
        <v>0</v>
      </c>
      <c r="F15" s="94">
        <v>0</v>
      </c>
      <c r="G15" s="95">
        <f>SUM(G3:G14)/10</f>
        <v>0</v>
      </c>
      <c r="H15" s="94">
        <f>SUM(H3:H14)/10</f>
        <v>126.5</v>
      </c>
      <c r="I15" s="94">
        <v>0</v>
      </c>
      <c r="J15" s="94"/>
      <c r="K15" s="94">
        <f t="shared" ref="K15:S15" si="0">SUM(K3:K14)/10</f>
        <v>92.4</v>
      </c>
      <c r="L15" s="94">
        <f t="shared" si="0"/>
        <v>9.5</v>
      </c>
      <c r="M15" s="94">
        <f t="shared" si="0"/>
        <v>32.4</v>
      </c>
      <c r="N15" s="94">
        <f t="shared" si="0"/>
        <v>709.4</v>
      </c>
      <c r="O15" s="94">
        <f t="shared" si="0"/>
        <v>359.3</v>
      </c>
      <c r="P15" s="94">
        <f t="shared" si="0"/>
        <v>66.5</v>
      </c>
      <c r="Q15" s="94">
        <f t="shared" si="0"/>
        <v>270.89999999999998</v>
      </c>
      <c r="R15" s="94">
        <f t="shared" si="0"/>
        <v>42.5</v>
      </c>
      <c r="S15" s="94">
        <f t="shared" si="0"/>
        <v>1516.2</v>
      </c>
      <c r="T15" s="94"/>
      <c r="U15" s="94">
        <f t="shared" ref="U15:AE15" si="1">SUM(U3:U14)/10</f>
        <v>510.5</v>
      </c>
      <c r="V15" s="94">
        <f t="shared" si="1"/>
        <v>351.6</v>
      </c>
      <c r="W15" s="94">
        <f t="shared" si="1"/>
        <v>4.7</v>
      </c>
      <c r="X15" s="94">
        <f t="shared" si="1"/>
        <v>0</v>
      </c>
      <c r="Y15" s="94">
        <f t="shared" si="1"/>
        <v>1758.6</v>
      </c>
      <c r="Z15" s="94">
        <f t="shared" si="1"/>
        <v>558.29999999999995</v>
      </c>
      <c r="AA15" s="94">
        <f t="shared" si="1"/>
        <v>10480.200000000001</v>
      </c>
      <c r="AB15" s="94">
        <f t="shared" si="1"/>
        <v>852.8</v>
      </c>
      <c r="AC15" s="94">
        <f t="shared" si="1"/>
        <v>15.4</v>
      </c>
      <c r="AD15" s="94">
        <f t="shared" si="1"/>
        <v>0</v>
      </c>
      <c r="AE15" s="94">
        <f t="shared" si="1"/>
        <v>44.9</v>
      </c>
      <c r="AF15" s="94">
        <f>SUM(AF3:AF14)/10</f>
        <v>5066.7</v>
      </c>
      <c r="AG15" s="94">
        <f>SUM(AG3:AG14)/10</f>
        <v>4763.1000000000004</v>
      </c>
      <c r="AH15" s="94">
        <f>SUM(AH3:AH14)/10</f>
        <v>10084.200000000001</v>
      </c>
      <c r="AI15" s="94">
        <f>SUM(AI3:AI14)/10</f>
        <v>0</v>
      </c>
      <c r="AJ15" s="94">
        <f>SUM(AJ3:AJ14)/10</f>
        <v>3122.9</v>
      </c>
      <c r="AK15" s="94"/>
      <c r="AL15" s="94">
        <f t="shared" ref="AL15:BB15" si="2">SUM(AL3:AL14)/10</f>
        <v>5774.1</v>
      </c>
      <c r="AM15" s="94">
        <f t="shared" si="2"/>
        <v>22285.4</v>
      </c>
      <c r="AN15" s="94">
        <f t="shared" si="2"/>
        <v>8781.2999999999993</v>
      </c>
      <c r="AO15" s="94">
        <f t="shared" si="2"/>
        <v>6956.9</v>
      </c>
      <c r="AP15" s="94">
        <f t="shared" si="2"/>
        <v>12118.3</v>
      </c>
      <c r="AQ15" s="94">
        <f t="shared" si="2"/>
        <v>9396.5</v>
      </c>
      <c r="AR15" s="94">
        <f t="shared" si="2"/>
        <v>2101</v>
      </c>
      <c r="AS15" s="96">
        <f t="shared" si="2"/>
        <v>5876.5</v>
      </c>
      <c r="AT15" s="94">
        <f t="shared" si="2"/>
        <v>4840.3</v>
      </c>
      <c r="AU15" s="94">
        <f t="shared" si="2"/>
        <v>0</v>
      </c>
      <c r="AV15" s="94">
        <f t="shared" si="2"/>
        <v>273.8</v>
      </c>
      <c r="AW15" s="94">
        <f t="shared" si="2"/>
        <v>103.6</v>
      </c>
      <c r="AX15" s="94">
        <f t="shared" si="2"/>
        <v>4881.8999999999996</v>
      </c>
      <c r="AY15" s="94">
        <f t="shared" si="2"/>
        <v>236.8</v>
      </c>
      <c r="AZ15" s="94">
        <f t="shared" si="2"/>
        <v>155.9</v>
      </c>
      <c r="BA15" s="94">
        <f t="shared" si="2"/>
        <v>27901.5</v>
      </c>
      <c r="BB15" s="94">
        <f t="shared" si="2"/>
        <v>75.5</v>
      </c>
      <c r="BC15" s="94">
        <f>SUM(BC3:BC14)/10</f>
        <v>0</v>
      </c>
      <c r="BD15" s="97">
        <f t="shared" ref="BD15:BF16" si="3">SUM(B15:BC15)</f>
        <v>152598.79999999999</v>
      </c>
      <c r="BE15" s="97">
        <f t="shared" si="3"/>
        <v>305197.59999999998</v>
      </c>
      <c r="BF15" s="97">
        <f t="shared" si="3"/>
        <v>610395.19999999995</v>
      </c>
      <c r="BG15" s="97"/>
      <c r="BH15" s="97"/>
      <c r="BI15" s="97"/>
    </row>
    <row r="16" spans="1:61" ht="13.5" thickTop="1" x14ac:dyDescent="0.2">
      <c r="A16" s="92"/>
      <c r="B16" s="134">
        <f>SUM(B3:B14)</f>
        <v>0</v>
      </c>
      <c r="C16" s="134">
        <f t="shared" ref="C16:AE16" si="4">SUM(C3:C14)</f>
        <v>629</v>
      </c>
      <c r="D16" s="134">
        <f t="shared" si="4"/>
        <v>0</v>
      </c>
      <c r="E16" s="134">
        <f>SUM(E3:E14)</f>
        <v>0</v>
      </c>
      <c r="F16" s="134">
        <f t="shared" si="4"/>
        <v>1675</v>
      </c>
      <c r="G16" s="134">
        <f t="shared" si="4"/>
        <v>0</v>
      </c>
      <c r="H16" s="134">
        <f t="shared" si="4"/>
        <v>1265</v>
      </c>
      <c r="I16" s="134">
        <f t="shared" si="4"/>
        <v>5741</v>
      </c>
      <c r="J16" s="134">
        <f t="shared" si="4"/>
        <v>0</v>
      </c>
      <c r="K16" s="134">
        <f t="shared" si="4"/>
        <v>924</v>
      </c>
      <c r="L16" s="134">
        <f t="shared" si="4"/>
        <v>95</v>
      </c>
      <c r="M16" s="134">
        <f t="shared" si="4"/>
        <v>324</v>
      </c>
      <c r="N16" s="134">
        <f t="shared" si="4"/>
        <v>7094</v>
      </c>
      <c r="O16" s="134">
        <f t="shared" si="4"/>
        <v>3593</v>
      </c>
      <c r="P16" s="134">
        <f t="shared" si="4"/>
        <v>665</v>
      </c>
      <c r="Q16" s="134">
        <f t="shared" si="4"/>
        <v>2709</v>
      </c>
      <c r="R16" s="134">
        <f t="shared" si="4"/>
        <v>425</v>
      </c>
      <c r="S16" s="134">
        <f t="shared" si="4"/>
        <v>15162</v>
      </c>
      <c r="T16" s="134">
        <f t="shared" si="4"/>
        <v>0</v>
      </c>
      <c r="U16" s="134">
        <f t="shared" si="4"/>
        <v>5105</v>
      </c>
      <c r="V16" s="134">
        <f t="shared" si="4"/>
        <v>3516</v>
      </c>
      <c r="W16" s="134">
        <f t="shared" si="4"/>
        <v>47</v>
      </c>
      <c r="X16" s="134">
        <f t="shared" si="4"/>
        <v>0</v>
      </c>
      <c r="Y16" s="134">
        <f t="shared" si="4"/>
        <v>17586</v>
      </c>
      <c r="Z16" s="134">
        <f t="shared" si="4"/>
        <v>5583</v>
      </c>
      <c r="AA16" s="134">
        <f t="shared" si="4"/>
        <v>104802</v>
      </c>
      <c r="AB16" s="134">
        <f t="shared" si="4"/>
        <v>8528</v>
      </c>
      <c r="AC16" s="134">
        <f t="shared" si="4"/>
        <v>154</v>
      </c>
      <c r="AD16" s="134">
        <f t="shared" si="4"/>
        <v>0</v>
      </c>
      <c r="AE16" s="134">
        <f t="shared" si="4"/>
        <v>449</v>
      </c>
      <c r="AF16" s="135">
        <f>SUM(AF3:AF14)</f>
        <v>50667</v>
      </c>
      <c r="AG16" s="135">
        <f>SUM(AG3:AG14)</f>
        <v>47631</v>
      </c>
      <c r="AH16" s="135">
        <f t="shared" ref="AH16:BC16" si="5">SUM(AH3:AH14)</f>
        <v>100842</v>
      </c>
      <c r="AI16" s="135">
        <f t="shared" si="5"/>
        <v>0</v>
      </c>
      <c r="AJ16" s="135">
        <f t="shared" si="5"/>
        <v>31229</v>
      </c>
      <c r="AK16" s="135">
        <f t="shared" si="5"/>
        <v>0</v>
      </c>
      <c r="AL16" s="135">
        <f t="shared" si="5"/>
        <v>57741</v>
      </c>
      <c r="AM16" s="135">
        <f t="shared" si="5"/>
        <v>222854</v>
      </c>
      <c r="AN16" s="135">
        <f t="shared" si="5"/>
        <v>87813</v>
      </c>
      <c r="AO16" s="135">
        <f t="shared" si="5"/>
        <v>69569</v>
      </c>
      <c r="AP16" s="135">
        <f t="shared" si="5"/>
        <v>121183</v>
      </c>
      <c r="AQ16" s="135">
        <f t="shared" si="5"/>
        <v>93965</v>
      </c>
      <c r="AR16" s="135">
        <f t="shared" si="5"/>
        <v>21010</v>
      </c>
      <c r="AS16" s="135">
        <f t="shared" si="5"/>
        <v>58765</v>
      </c>
      <c r="AT16" s="135">
        <f t="shared" si="5"/>
        <v>48403</v>
      </c>
      <c r="AU16" s="135">
        <f t="shared" si="5"/>
        <v>0</v>
      </c>
      <c r="AV16" s="135">
        <f t="shared" si="5"/>
        <v>2738</v>
      </c>
      <c r="AW16" s="135">
        <f t="shared" si="5"/>
        <v>1036</v>
      </c>
      <c r="AX16" s="135">
        <f t="shared" si="5"/>
        <v>48819</v>
      </c>
      <c r="AY16" s="135">
        <f t="shared" si="5"/>
        <v>2368</v>
      </c>
      <c r="AZ16" s="135">
        <f t="shared" si="5"/>
        <v>1559</v>
      </c>
      <c r="BA16" s="135">
        <f t="shared" si="5"/>
        <v>279015</v>
      </c>
      <c r="BB16" s="135">
        <f t="shared" si="5"/>
        <v>755</v>
      </c>
      <c r="BC16" s="135">
        <f t="shared" si="5"/>
        <v>0</v>
      </c>
      <c r="BD16" s="138">
        <f t="shared" si="3"/>
        <v>1534033</v>
      </c>
      <c r="BE16" s="138">
        <f t="shared" si="3"/>
        <v>3068066</v>
      </c>
      <c r="BF16" s="138">
        <f t="shared" si="3"/>
        <v>6135503</v>
      </c>
      <c r="BG16" s="138"/>
      <c r="BH16" s="138"/>
      <c r="BI16" s="138"/>
    </row>
    <row r="20" spans="1:61" x14ac:dyDescent="0.2">
      <c r="A20" s="26">
        <v>2019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</row>
    <row r="21" spans="1:61" x14ac:dyDescent="0.2">
      <c r="A21" s="106" t="s">
        <v>59</v>
      </c>
      <c r="C21">
        <v>108.37</v>
      </c>
      <c r="E21">
        <v>12.87</v>
      </c>
      <c r="F21">
        <v>280.38</v>
      </c>
      <c r="H21">
        <v>236.33</v>
      </c>
      <c r="I21">
        <v>908.43</v>
      </c>
      <c r="K21">
        <v>159.82</v>
      </c>
      <c r="L21">
        <v>18.89</v>
      </c>
      <c r="M21">
        <v>70.3</v>
      </c>
      <c r="N21">
        <v>13.54</v>
      </c>
      <c r="O21">
        <v>308.70999999999998</v>
      </c>
      <c r="P21">
        <v>132.46</v>
      </c>
      <c r="Q21">
        <v>487.01</v>
      </c>
      <c r="R21">
        <v>94.32</v>
      </c>
      <c r="S21">
        <v>456.22</v>
      </c>
      <c r="U21">
        <v>26.91</v>
      </c>
      <c r="V21">
        <v>302.95</v>
      </c>
      <c r="W21">
        <v>16.95</v>
      </c>
      <c r="X21">
        <v>13.42</v>
      </c>
      <c r="Y21">
        <v>1226.1400000000001</v>
      </c>
      <c r="Z21">
        <v>278.54000000000002</v>
      </c>
      <c r="AA21">
        <v>3878.52</v>
      </c>
      <c r="AB21">
        <v>717.14</v>
      </c>
      <c r="AC21">
        <v>-4.3</v>
      </c>
      <c r="AD21">
        <v>0</v>
      </c>
      <c r="AE21">
        <v>79.849999999999994</v>
      </c>
      <c r="AF21">
        <v>-64.94</v>
      </c>
      <c r="AG21">
        <v>721.61</v>
      </c>
      <c r="AH21">
        <v>2214.94</v>
      </c>
      <c r="AJ21">
        <v>12.87</v>
      </c>
      <c r="AL21">
        <v>-249.8</v>
      </c>
      <c r="AM21">
        <v>7121.09</v>
      </c>
      <c r="AN21">
        <v>431.16</v>
      </c>
      <c r="AO21">
        <v>-4779.57</v>
      </c>
      <c r="AP21">
        <v>-131.83000000000001</v>
      </c>
      <c r="AQ21">
        <v>186.45</v>
      </c>
      <c r="AR21">
        <v>0</v>
      </c>
      <c r="AS21">
        <v>-399.83</v>
      </c>
      <c r="AT21">
        <v>-316.56</v>
      </c>
      <c r="AV21">
        <v>12.19</v>
      </c>
      <c r="AW21">
        <v>186.76</v>
      </c>
      <c r="AX21">
        <v>-253.66</v>
      </c>
      <c r="AY21">
        <v>374.45</v>
      </c>
      <c r="AZ21">
        <v>10.01</v>
      </c>
      <c r="BA21">
        <v>0</v>
      </c>
      <c r="BB21">
        <v>107.69</v>
      </c>
      <c r="BC21">
        <v>13.84</v>
      </c>
      <c r="BD21">
        <v>5424.65</v>
      </c>
      <c r="BE21">
        <v>4815.91</v>
      </c>
      <c r="BF21">
        <v>6715.32</v>
      </c>
      <c r="BG21">
        <v>0</v>
      </c>
      <c r="BH21">
        <v>0</v>
      </c>
      <c r="BI21">
        <v>-8.1199999999999992</v>
      </c>
    </row>
    <row r="22" spans="1:61" x14ac:dyDescent="0.2">
      <c r="A22" s="113" t="s">
        <v>42</v>
      </c>
      <c r="C22">
        <v>105.56</v>
      </c>
      <c r="E22">
        <v>15.81</v>
      </c>
      <c r="F22">
        <v>244.64</v>
      </c>
      <c r="H22">
        <v>246.81</v>
      </c>
      <c r="I22">
        <v>821.87</v>
      </c>
      <c r="K22">
        <v>159.29</v>
      </c>
      <c r="L22">
        <v>24.4</v>
      </c>
      <c r="M22">
        <v>92.58</v>
      </c>
      <c r="N22">
        <v>16.48</v>
      </c>
      <c r="O22">
        <v>275.27999999999997</v>
      </c>
      <c r="P22">
        <v>135.56</v>
      </c>
      <c r="Q22">
        <v>304.18</v>
      </c>
      <c r="R22">
        <v>78.69</v>
      </c>
      <c r="S22">
        <v>462.95</v>
      </c>
      <c r="U22">
        <v>32.04</v>
      </c>
      <c r="V22">
        <v>358.18</v>
      </c>
      <c r="W22">
        <v>16.16</v>
      </c>
      <c r="X22">
        <v>13.42</v>
      </c>
      <c r="Y22">
        <v>1173.24</v>
      </c>
      <c r="Z22">
        <v>258.8</v>
      </c>
      <c r="AA22">
        <v>4305.87</v>
      </c>
      <c r="AB22">
        <v>646.49</v>
      </c>
      <c r="AC22">
        <v>-22.48</v>
      </c>
      <c r="AD22">
        <v>0</v>
      </c>
      <c r="AE22">
        <v>69.84</v>
      </c>
      <c r="AF22">
        <v>-96.96</v>
      </c>
      <c r="AG22">
        <v>-218.52</v>
      </c>
      <c r="AH22">
        <v>-369.55</v>
      </c>
      <c r="AJ22">
        <v>12.87</v>
      </c>
      <c r="AL22">
        <v>-813.25</v>
      </c>
      <c r="AM22">
        <v>4978.76</v>
      </c>
      <c r="AN22">
        <v>84.47</v>
      </c>
      <c r="AO22">
        <v>-4779.57</v>
      </c>
      <c r="AP22">
        <v>-477.66</v>
      </c>
      <c r="AQ22">
        <v>235.18</v>
      </c>
      <c r="AR22">
        <v>0</v>
      </c>
      <c r="AS22">
        <v>-69.13</v>
      </c>
      <c r="AT22">
        <v>-316.56</v>
      </c>
      <c r="AV22">
        <v>15.38</v>
      </c>
      <c r="AW22">
        <v>174.84</v>
      </c>
      <c r="AX22">
        <v>-253.66</v>
      </c>
      <c r="AY22">
        <v>437.44</v>
      </c>
      <c r="AZ22">
        <v>12.06</v>
      </c>
      <c r="BA22">
        <v>0</v>
      </c>
      <c r="BB22">
        <v>133.80000000000001</v>
      </c>
      <c r="BC22">
        <v>13.84</v>
      </c>
      <c r="BD22">
        <v>6582.81</v>
      </c>
      <c r="BE22">
        <v>6084.53</v>
      </c>
      <c r="BF22">
        <v>8479.1</v>
      </c>
      <c r="BG22">
        <v>0</v>
      </c>
      <c r="BH22">
        <v>1903.09</v>
      </c>
    </row>
    <row r="23" spans="1:61" x14ac:dyDescent="0.2">
      <c r="A23" s="113" t="s">
        <v>43</v>
      </c>
      <c r="C23">
        <v>42.76</v>
      </c>
      <c r="E23">
        <v>15.81</v>
      </c>
      <c r="F23">
        <v>200.4</v>
      </c>
      <c r="H23">
        <v>72.709999999999994</v>
      </c>
      <c r="I23">
        <v>484.62</v>
      </c>
      <c r="K23">
        <v>95.61</v>
      </c>
      <c r="L23">
        <v>22.08</v>
      </c>
      <c r="M23">
        <v>38.94</v>
      </c>
      <c r="N23">
        <v>16.48</v>
      </c>
      <c r="O23">
        <v>115.89</v>
      </c>
      <c r="P23">
        <v>121.1</v>
      </c>
      <c r="Q23">
        <v>197.31</v>
      </c>
      <c r="R23">
        <v>61.56</v>
      </c>
      <c r="S23">
        <v>287.24</v>
      </c>
      <c r="U23">
        <v>31</v>
      </c>
      <c r="V23">
        <v>178.92</v>
      </c>
      <c r="W23">
        <v>19.96</v>
      </c>
      <c r="X23">
        <v>16.48</v>
      </c>
      <c r="Y23">
        <v>732.25</v>
      </c>
      <c r="Z23">
        <v>150.4</v>
      </c>
      <c r="AA23">
        <v>2288.09</v>
      </c>
      <c r="AB23">
        <v>650.15</v>
      </c>
      <c r="AC23">
        <v>-37.78</v>
      </c>
      <c r="AD23">
        <v>0</v>
      </c>
      <c r="AE23">
        <v>54.36</v>
      </c>
      <c r="AF23">
        <v>35.53</v>
      </c>
      <c r="AG23">
        <v>1183.51</v>
      </c>
      <c r="AH23">
        <v>1179.29</v>
      </c>
      <c r="AJ23">
        <v>15.81</v>
      </c>
      <c r="AL23">
        <v>-611.88</v>
      </c>
      <c r="AM23">
        <v>2767.69</v>
      </c>
      <c r="AN23">
        <v>4982.7700000000004</v>
      </c>
      <c r="AO23">
        <v>-4779.57</v>
      </c>
      <c r="AP23">
        <v>-256.8</v>
      </c>
      <c r="AQ23">
        <v>266.20999999999998</v>
      </c>
      <c r="AR23">
        <v>0</v>
      </c>
      <c r="AS23">
        <v>-67.069999999999993</v>
      </c>
      <c r="AT23">
        <v>-316.56</v>
      </c>
      <c r="AV23">
        <v>14.3</v>
      </c>
      <c r="AW23">
        <v>131.16999999999999</v>
      </c>
      <c r="AX23">
        <v>-253.66</v>
      </c>
      <c r="AY23">
        <v>191.96</v>
      </c>
      <c r="AZ23">
        <v>12.06</v>
      </c>
      <c r="BA23">
        <v>0</v>
      </c>
      <c r="BB23">
        <v>87.87</v>
      </c>
      <c r="BC23">
        <v>17</v>
      </c>
      <c r="BD23">
        <v>7049.81</v>
      </c>
      <c r="BE23">
        <v>6273.5</v>
      </c>
      <c r="BF23">
        <v>8668.07</v>
      </c>
      <c r="BG23">
        <v>0</v>
      </c>
      <c r="BH23">
        <v>1730.13</v>
      </c>
    </row>
    <row r="24" spans="1:61" x14ac:dyDescent="0.2">
      <c r="A24" s="113" t="s">
        <v>44</v>
      </c>
      <c r="C24">
        <v>21.9</v>
      </c>
      <c r="E24">
        <v>15.81</v>
      </c>
      <c r="F24">
        <v>22.54</v>
      </c>
      <c r="H24">
        <v>23.5</v>
      </c>
      <c r="I24">
        <v>333.36</v>
      </c>
      <c r="K24">
        <v>37.53</v>
      </c>
      <c r="L24">
        <v>22.08</v>
      </c>
      <c r="M24">
        <v>17.88</v>
      </c>
      <c r="N24">
        <v>17.14</v>
      </c>
      <c r="O24">
        <v>27.91</v>
      </c>
      <c r="P24">
        <v>70.930000000000007</v>
      </c>
      <c r="Q24">
        <v>39.36</v>
      </c>
      <c r="R24">
        <v>19.16</v>
      </c>
      <c r="S24">
        <v>52.81</v>
      </c>
      <c r="U24">
        <v>28.12</v>
      </c>
      <c r="V24">
        <v>69.09</v>
      </c>
      <c r="W24">
        <v>18.489999999999998</v>
      </c>
      <c r="X24">
        <v>16.48</v>
      </c>
      <c r="Y24">
        <v>212.31</v>
      </c>
      <c r="Z24">
        <v>37.33</v>
      </c>
      <c r="AA24">
        <v>883.85</v>
      </c>
      <c r="AB24">
        <v>309.87</v>
      </c>
      <c r="AC24">
        <v>6.74</v>
      </c>
      <c r="AD24">
        <v>0</v>
      </c>
      <c r="AE24">
        <v>17.88</v>
      </c>
      <c r="AF24">
        <v>35.53</v>
      </c>
      <c r="AG24">
        <v>0</v>
      </c>
      <c r="AH24">
        <v>1179.29</v>
      </c>
      <c r="AJ24">
        <v>15.81</v>
      </c>
      <c r="AL24">
        <v>-611.88</v>
      </c>
      <c r="AM24">
        <v>1940.26</v>
      </c>
      <c r="AN24">
        <v>142.58000000000001</v>
      </c>
      <c r="AO24">
        <v>-4779.57</v>
      </c>
      <c r="AP24">
        <v>-183.74</v>
      </c>
      <c r="AQ24">
        <v>265.95</v>
      </c>
      <c r="AR24">
        <v>0</v>
      </c>
      <c r="AS24">
        <v>-50.96</v>
      </c>
      <c r="AT24">
        <v>-316.56</v>
      </c>
      <c r="AV24">
        <v>14.3</v>
      </c>
      <c r="AW24">
        <v>49.45</v>
      </c>
      <c r="AX24">
        <v>-253.66</v>
      </c>
      <c r="AY24">
        <v>48.04</v>
      </c>
      <c r="AZ24">
        <v>12.06</v>
      </c>
      <c r="BA24">
        <v>0</v>
      </c>
      <c r="BB24">
        <v>37.380000000000003</v>
      </c>
      <c r="BC24">
        <v>17</v>
      </c>
      <c r="BD24">
        <v>6852.81</v>
      </c>
      <c r="BE24">
        <v>6084.53</v>
      </c>
      <c r="BF24">
        <v>8479.1</v>
      </c>
      <c r="BG24">
        <v>0</v>
      </c>
      <c r="BH24">
        <v>140.4</v>
      </c>
    </row>
    <row r="25" spans="1:61" x14ac:dyDescent="0.2">
      <c r="A25" s="113" t="s">
        <v>45</v>
      </c>
      <c r="C25">
        <v>21.24</v>
      </c>
      <c r="E25">
        <v>15.81</v>
      </c>
      <c r="F25">
        <v>19.170000000000002</v>
      </c>
      <c r="H25">
        <v>23.5</v>
      </c>
      <c r="I25">
        <v>19.28</v>
      </c>
      <c r="K25">
        <v>19.28</v>
      </c>
      <c r="L25">
        <v>22.08</v>
      </c>
      <c r="M25">
        <v>16.48</v>
      </c>
      <c r="N25">
        <v>16.48</v>
      </c>
      <c r="O25">
        <v>16.48</v>
      </c>
      <c r="P25">
        <v>36.380000000000003</v>
      </c>
      <c r="Q25">
        <v>19.850000000000001</v>
      </c>
      <c r="R25">
        <v>19.16</v>
      </c>
      <c r="S25">
        <v>16.48</v>
      </c>
      <c r="U25">
        <v>24.89</v>
      </c>
      <c r="V25">
        <v>19.98</v>
      </c>
      <c r="W25">
        <v>17.809999999999999</v>
      </c>
      <c r="X25">
        <v>16.48</v>
      </c>
      <c r="Y25">
        <v>40.03</v>
      </c>
      <c r="Z25">
        <v>16.48</v>
      </c>
      <c r="AA25">
        <v>145</v>
      </c>
      <c r="AB25">
        <v>227.78</v>
      </c>
      <c r="AC25">
        <v>0</v>
      </c>
      <c r="AD25">
        <v>0</v>
      </c>
      <c r="AE25">
        <v>17.170000000000002</v>
      </c>
      <c r="AF25">
        <v>-35.53</v>
      </c>
      <c r="AG25">
        <v>0</v>
      </c>
      <c r="AH25">
        <v>-1179.29</v>
      </c>
      <c r="AJ25">
        <v>15.81</v>
      </c>
      <c r="AL25">
        <v>0</v>
      </c>
      <c r="AM25">
        <v>1593.75</v>
      </c>
      <c r="AN25">
        <v>2.4300000000000002</v>
      </c>
      <c r="AO25">
        <v>-4779.57</v>
      </c>
      <c r="AP25">
        <v>-174.38</v>
      </c>
      <c r="AQ25">
        <v>649.94000000000005</v>
      </c>
      <c r="AR25">
        <v>1.89</v>
      </c>
      <c r="AS25">
        <v>-50.96</v>
      </c>
      <c r="AT25">
        <v>0</v>
      </c>
      <c r="AV25">
        <v>14.3</v>
      </c>
      <c r="AW25">
        <v>24.91</v>
      </c>
      <c r="AX25">
        <v>0</v>
      </c>
      <c r="AY25">
        <v>16.48</v>
      </c>
      <c r="AZ25">
        <v>12.06</v>
      </c>
      <c r="BA25">
        <v>0</v>
      </c>
      <c r="BB25">
        <v>27.3</v>
      </c>
      <c r="BC25">
        <v>17</v>
      </c>
      <c r="BD25">
        <v>6852.81</v>
      </c>
      <c r="BE25">
        <v>6084.53</v>
      </c>
      <c r="BF25">
        <v>8479.1</v>
      </c>
      <c r="BG25">
        <v>0</v>
      </c>
      <c r="BH25">
        <v>44.52</v>
      </c>
    </row>
    <row r="26" spans="1:61" x14ac:dyDescent="0.2">
      <c r="A26" s="113" t="s">
        <v>46</v>
      </c>
      <c r="C26">
        <v>21.9</v>
      </c>
      <c r="E26">
        <v>15.81</v>
      </c>
      <c r="F26">
        <v>19.850000000000001</v>
      </c>
      <c r="H26">
        <v>23.5</v>
      </c>
      <c r="I26">
        <v>16.48</v>
      </c>
      <c r="K26">
        <v>16.48</v>
      </c>
      <c r="L26">
        <v>21.39</v>
      </c>
      <c r="M26">
        <v>16.48</v>
      </c>
      <c r="N26">
        <v>16.48</v>
      </c>
      <c r="O26">
        <v>17.14</v>
      </c>
      <c r="P26">
        <v>26.04</v>
      </c>
      <c r="Q26">
        <v>16.47</v>
      </c>
      <c r="R26">
        <v>18.48</v>
      </c>
      <c r="S26">
        <v>16.48</v>
      </c>
      <c r="U26">
        <v>22.76</v>
      </c>
      <c r="V26">
        <v>19.98</v>
      </c>
      <c r="W26">
        <v>17.809999999999999</v>
      </c>
      <c r="X26">
        <v>16.48</v>
      </c>
      <c r="Y26">
        <v>31.28</v>
      </c>
      <c r="Z26">
        <v>17.14</v>
      </c>
      <c r="AA26">
        <v>130.88</v>
      </c>
      <c r="AB26">
        <v>353.61</v>
      </c>
      <c r="AC26">
        <v>0</v>
      </c>
      <c r="AD26">
        <v>0</v>
      </c>
      <c r="AE26">
        <v>17.170000000000002</v>
      </c>
      <c r="AF26">
        <v>-35.53</v>
      </c>
      <c r="AG26">
        <v>0</v>
      </c>
      <c r="AH26">
        <v>-1179.29</v>
      </c>
      <c r="AJ26">
        <v>15.81</v>
      </c>
      <c r="AL26">
        <v>1.81</v>
      </c>
      <c r="AM26">
        <v>1518.47</v>
      </c>
      <c r="AN26">
        <v>0</v>
      </c>
      <c r="AO26">
        <v>-4779.57</v>
      </c>
      <c r="AP26">
        <v>-174.38</v>
      </c>
      <c r="AQ26">
        <v>670.4</v>
      </c>
      <c r="AR26">
        <v>0</v>
      </c>
      <c r="AS26">
        <v>-50.96</v>
      </c>
      <c r="AT26">
        <v>0</v>
      </c>
      <c r="AV26">
        <v>14.3</v>
      </c>
      <c r="AW26">
        <v>17.170000000000002</v>
      </c>
      <c r="AX26">
        <v>0</v>
      </c>
      <c r="AY26">
        <v>16.48</v>
      </c>
      <c r="AZ26">
        <v>12.06</v>
      </c>
      <c r="BA26">
        <v>0</v>
      </c>
      <c r="BB26">
        <v>17.190000000000001</v>
      </c>
      <c r="BC26">
        <v>17</v>
      </c>
      <c r="BD26">
        <v>6852.81</v>
      </c>
      <c r="BE26">
        <v>6084.53</v>
      </c>
      <c r="BF26">
        <v>8479.1</v>
      </c>
      <c r="BG26">
        <v>0</v>
      </c>
      <c r="BH26">
        <v>27.78</v>
      </c>
    </row>
    <row r="27" spans="1:61" x14ac:dyDescent="0.2">
      <c r="A27" s="113" t="s">
        <v>47</v>
      </c>
      <c r="C27">
        <v>21.9</v>
      </c>
      <c r="E27">
        <v>15.81</v>
      </c>
      <c r="F27">
        <v>19.850000000000001</v>
      </c>
      <c r="H27">
        <v>23.5</v>
      </c>
      <c r="I27">
        <v>16.48</v>
      </c>
      <c r="K27">
        <v>16.48</v>
      </c>
      <c r="L27">
        <v>20.69</v>
      </c>
      <c r="M27">
        <v>16.48</v>
      </c>
      <c r="N27">
        <v>16.48</v>
      </c>
      <c r="O27">
        <v>16.48</v>
      </c>
      <c r="P27">
        <v>22.96</v>
      </c>
      <c r="Q27">
        <v>17.809999999999999</v>
      </c>
      <c r="R27">
        <v>19.16</v>
      </c>
      <c r="S27">
        <v>16.48</v>
      </c>
      <c r="U27">
        <v>20.62</v>
      </c>
      <c r="V27">
        <v>19.98</v>
      </c>
      <c r="W27">
        <v>17.149999999999999</v>
      </c>
      <c r="X27">
        <v>16.48</v>
      </c>
      <c r="Y27">
        <v>33.29</v>
      </c>
      <c r="Z27">
        <v>16.48</v>
      </c>
      <c r="AA27">
        <v>139.61000000000001</v>
      </c>
      <c r="AB27">
        <v>314.58</v>
      </c>
      <c r="AC27">
        <v>0</v>
      </c>
      <c r="AD27">
        <v>0</v>
      </c>
      <c r="AE27">
        <v>17.88</v>
      </c>
      <c r="AF27">
        <v>-35.53</v>
      </c>
      <c r="AG27">
        <v>0</v>
      </c>
      <c r="AH27">
        <v>-1179.29</v>
      </c>
      <c r="AJ27">
        <v>15.81</v>
      </c>
      <c r="AL27">
        <v>68.849999999999994</v>
      </c>
      <c r="AM27">
        <v>858.29</v>
      </c>
      <c r="AN27">
        <v>2.4300000000000002</v>
      </c>
      <c r="AO27">
        <v>-4779.57</v>
      </c>
      <c r="AP27">
        <v>-174.38</v>
      </c>
      <c r="AQ27">
        <v>801.91</v>
      </c>
      <c r="AR27">
        <v>1461.75</v>
      </c>
      <c r="AS27">
        <v>-50.96</v>
      </c>
      <c r="AT27">
        <v>0</v>
      </c>
      <c r="AV27">
        <v>14.3</v>
      </c>
      <c r="AW27">
        <v>18.57</v>
      </c>
      <c r="AX27">
        <v>0</v>
      </c>
      <c r="AY27">
        <v>16.48</v>
      </c>
      <c r="AZ27">
        <v>12.06</v>
      </c>
      <c r="BA27">
        <v>0</v>
      </c>
      <c r="BB27">
        <v>16.53</v>
      </c>
      <c r="BC27">
        <v>17</v>
      </c>
      <c r="BD27">
        <v>6852.81</v>
      </c>
      <c r="BE27">
        <v>6085.03</v>
      </c>
      <c r="BF27">
        <v>8479.1</v>
      </c>
      <c r="BG27">
        <v>0</v>
      </c>
      <c r="BH27">
        <v>27.78</v>
      </c>
    </row>
    <row r="28" spans="1:61" x14ac:dyDescent="0.2">
      <c r="A28" s="113" t="s">
        <v>48</v>
      </c>
      <c r="C28">
        <v>21.9</v>
      </c>
      <c r="E28">
        <v>15.81</v>
      </c>
      <c r="F28">
        <v>19.170000000000002</v>
      </c>
      <c r="H28">
        <v>22.79</v>
      </c>
      <c r="I28">
        <v>16.48</v>
      </c>
      <c r="K28">
        <v>16.48</v>
      </c>
      <c r="L28">
        <v>19.98</v>
      </c>
      <c r="M28">
        <v>16.48</v>
      </c>
      <c r="N28">
        <v>17.14</v>
      </c>
      <c r="O28">
        <v>16.48</v>
      </c>
      <c r="P28">
        <v>23.97</v>
      </c>
      <c r="Q28">
        <v>17.149999999999999</v>
      </c>
      <c r="R28">
        <v>19.16</v>
      </c>
      <c r="S28">
        <v>57.52</v>
      </c>
      <c r="U28">
        <v>21.69</v>
      </c>
      <c r="V28">
        <v>19.98</v>
      </c>
      <c r="W28">
        <v>17.809999999999999</v>
      </c>
      <c r="X28">
        <v>16.48</v>
      </c>
      <c r="Y28">
        <v>31.95</v>
      </c>
      <c r="Z28">
        <v>16.48</v>
      </c>
      <c r="AA28">
        <v>135.58000000000001</v>
      </c>
      <c r="AB28">
        <v>58.87</v>
      </c>
      <c r="AC28">
        <v>0</v>
      </c>
      <c r="AD28">
        <v>0</v>
      </c>
      <c r="AE28">
        <v>20.69</v>
      </c>
      <c r="AF28">
        <v>-30.14</v>
      </c>
      <c r="AG28">
        <v>0</v>
      </c>
      <c r="AH28">
        <v>-599.98</v>
      </c>
      <c r="AJ28">
        <v>17.149999999999999</v>
      </c>
      <c r="AL28">
        <v>4636.3900000000003</v>
      </c>
      <c r="AM28">
        <v>52.26</v>
      </c>
      <c r="AN28">
        <v>104.2</v>
      </c>
      <c r="AO28">
        <v>-3758.53</v>
      </c>
      <c r="AP28">
        <v>-173.21</v>
      </c>
      <c r="AQ28">
        <v>2.92</v>
      </c>
      <c r="AR28">
        <v>4.2300000000000004</v>
      </c>
      <c r="AS28">
        <v>10646.51</v>
      </c>
      <c r="AT28">
        <v>0</v>
      </c>
      <c r="AV28">
        <v>14.3</v>
      </c>
      <c r="AW28">
        <v>19.98</v>
      </c>
      <c r="AX28">
        <v>468.76</v>
      </c>
      <c r="AY28">
        <v>16.48</v>
      </c>
      <c r="AZ28">
        <v>12.54</v>
      </c>
      <c r="BA28">
        <v>682.67</v>
      </c>
      <c r="BB28">
        <v>16.53</v>
      </c>
      <c r="BC28">
        <v>17</v>
      </c>
      <c r="BD28">
        <v>6852.81</v>
      </c>
      <c r="BE28">
        <v>6084.53</v>
      </c>
      <c r="BF28">
        <v>8479.1</v>
      </c>
      <c r="BG28">
        <v>72.38</v>
      </c>
      <c r="BH28">
        <v>28.53</v>
      </c>
    </row>
    <row r="29" spans="1:61" x14ac:dyDescent="0.2">
      <c r="A29" s="113" t="s">
        <v>49</v>
      </c>
      <c r="C29">
        <v>21.94</v>
      </c>
      <c r="E29">
        <v>16.46</v>
      </c>
      <c r="F29">
        <v>19.86</v>
      </c>
      <c r="H29">
        <v>23.5</v>
      </c>
      <c r="I29">
        <v>16.48</v>
      </c>
      <c r="K29">
        <v>17.16</v>
      </c>
      <c r="L29">
        <v>20.7</v>
      </c>
      <c r="M29">
        <v>17.16</v>
      </c>
      <c r="N29">
        <v>17.13</v>
      </c>
      <c r="O29">
        <v>17.13</v>
      </c>
      <c r="P29">
        <v>21.92</v>
      </c>
      <c r="Q29">
        <v>19.86</v>
      </c>
      <c r="R29">
        <v>19.149999999999999</v>
      </c>
      <c r="S29">
        <v>355.33</v>
      </c>
      <c r="U29">
        <v>21.27</v>
      </c>
      <c r="V29">
        <v>20.7</v>
      </c>
      <c r="W29">
        <v>17.149999999999999</v>
      </c>
      <c r="X29">
        <v>16.48</v>
      </c>
      <c r="Y29">
        <v>32.090000000000003</v>
      </c>
      <c r="Z29">
        <v>17.13</v>
      </c>
      <c r="AA29">
        <v>123.28</v>
      </c>
      <c r="AB29">
        <v>226.03</v>
      </c>
      <c r="AC29">
        <v>0</v>
      </c>
      <c r="AD29">
        <v>0</v>
      </c>
      <c r="AE29">
        <v>28.51</v>
      </c>
      <c r="AF29">
        <v>9933.76</v>
      </c>
      <c r="AG29">
        <v>4460.47</v>
      </c>
      <c r="AH29">
        <v>12821.36</v>
      </c>
      <c r="AJ29">
        <v>5300.15</v>
      </c>
      <c r="AL29">
        <v>12066.96</v>
      </c>
      <c r="AM29">
        <v>13498.27</v>
      </c>
      <c r="AN29">
        <v>10607.11</v>
      </c>
      <c r="AO29">
        <v>15392.08</v>
      </c>
      <c r="AP29">
        <v>11197.93</v>
      </c>
      <c r="AQ29">
        <v>9394.23</v>
      </c>
      <c r="AR29">
        <v>10646.51</v>
      </c>
      <c r="AS29">
        <v>14387.65</v>
      </c>
      <c r="AT29">
        <v>8395.82</v>
      </c>
      <c r="AV29">
        <v>14.8</v>
      </c>
      <c r="AW29">
        <v>18.57</v>
      </c>
      <c r="AX29">
        <v>7752.16</v>
      </c>
      <c r="AY29">
        <v>17.16</v>
      </c>
      <c r="AZ29">
        <v>12.54</v>
      </c>
      <c r="BA29">
        <v>44398.84</v>
      </c>
      <c r="BB29">
        <v>39.630000000000003</v>
      </c>
      <c r="BC29">
        <v>17</v>
      </c>
      <c r="BD29">
        <v>7106.67</v>
      </c>
      <c r="BE29">
        <v>6309.9</v>
      </c>
      <c r="BF29">
        <v>8792.44</v>
      </c>
      <c r="BG29">
        <v>23392.75</v>
      </c>
      <c r="BH29">
        <v>41.7</v>
      </c>
    </row>
    <row r="30" spans="1:61" x14ac:dyDescent="0.2">
      <c r="A30" s="113" t="s">
        <v>50</v>
      </c>
      <c r="C30">
        <v>24.65</v>
      </c>
      <c r="E30">
        <v>16.46</v>
      </c>
      <c r="F30">
        <v>20.18</v>
      </c>
      <c r="H30">
        <v>43.4</v>
      </c>
      <c r="I30">
        <v>61.85</v>
      </c>
      <c r="K30">
        <v>42.44</v>
      </c>
      <c r="L30">
        <v>22.33</v>
      </c>
      <c r="M30">
        <v>17.16</v>
      </c>
      <c r="N30">
        <v>17.13</v>
      </c>
      <c r="O30">
        <v>65.63</v>
      </c>
      <c r="P30">
        <v>20.49</v>
      </c>
      <c r="Q30">
        <v>73.400000000000006</v>
      </c>
      <c r="R30">
        <v>19.61</v>
      </c>
      <c r="S30">
        <v>348.51</v>
      </c>
      <c r="U30">
        <v>23.9</v>
      </c>
      <c r="V30">
        <v>116.87</v>
      </c>
      <c r="W30">
        <v>18.48</v>
      </c>
      <c r="X30">
        <v>17.16</v>
      </c>
      <c r="Y30">
        <v>378.06</v>
      </c>
      <c r="Z30">
        <v>38.270000000000003</v>
      </c>
      <c r="AA30">
        <v>1397.84</v>
      </c>
      <c r="AB30">
        <v>442.6</v>
      </c>
      <c r="AC30">
        <v>0</v>
      </c>
      <c r="AD30">
        <v>0</v>
      </c>
      <c r="AE30">
        <v>28.18</v>
      </c>
      <c r="AF30">
        <v>7470.45</v>
      </c>
      <c r="AG30">
        <v>11391.85</v>
      </c>
      <c r="AH30">
        <v>17170.14</v>
      </c>
      <c r="AJ30">
        <v>9017.5</v>
      </c>
      <c r="AL30">
        <v>3240.35</v>
      </c>
      <c r="AM30">
        <v>55899.5</v>
      </c>
      <c r="AN30">
        <v>20395.29</v>
      </c>
      <c r="AO30">
        <v>10064.200000000001</v>
      </c>
      <c r="AP30">
        <v>27738.97</v>
      </c>
      <c r="AQ30">
        <v>17519.45</v>
      </c>
      <c r="AR30">
        <v>8652.17</v>
      </c>
      <c r="AS30">
        <v>5831.56</v>
      </c>
      <c r="AT30">
        <v>16016.97</v>
      </c>
      <c r="AV30">
        <v>14.69</v>
      </c>
      <c r="AW30">
        <v>17.86</v>
      </c>
      <c r="AX30">
        <v>5236.13</v>
      </c>
      <c r="AY30">
        <v>88.48</v>
      </c>
      <c r="AZ30">
        <v>12.54</v>
      </c>
      <c r="BA30">
        <v>26167.279999999999</v>
      </c>
      <c r="BB30">
        <v>76.05</v>
      </c>
      <c r="BC30">
        <v>17.690000000000001</v>
      </c>
      <c r="BD30">
        <v>7106.67</v>
      </c>
      <c r="BE30">
        <v>6309.9</v>
      </c>
      <c r="BF30">
        <v>8792.44</v>
      </c>
      <c r="BG30">
        <v>20611.54</v>
      </c>
      <c r="BH30">
        <v>391.82</v>
      </c>
    </row>
    <row r="31" spans="1:61" x14ac:dyDescent="0.2">
      <c r="A31" s="113" t="s">
        <v>51</v>
      </c>
      <c r="C31">
        <v>84.67</v>
      </c>
      <c r="E31">
        <v>16.46</v>
      </c>
      <c r="F31">
        <v>156.68</v>
      </c>
      <c r="H31">
        <v>149.28</v>
      </c>
      <c r="I31">
        <v>572.22</v>
      </c>
      <c r="K31">
        <v>110.96</v>
      </c>
      <c r="L31">
        <v>23.63</v>
      </c>
      <c r="M31">
        <v>43.1</v>
      </c>
      <c r="N31">
        <v>17.13</v>
      </c>
      <c r="O31">
        <v>198.38</v>
      </c>
      <c r="P31">
        <v>55.81</v>
      </c>
      <c r="Q31">
        <v>333.95</v>
      </c>
      <c r="R31">
        <v>58.8</v>
      </c>
      <c r="S31">
        <v>421.56</v>
      </c>
      <c r="U31">
        <v>31.43</v>
      </c>
      <c r="V31">
        <v>293.8</v>
      </c>
      <c r="W31">
        <v>19.57</v>
      </c>
      <c r="X31">
        <v>17.16</v>
      </c>
      <c r="Y31">
        <v>888.77</v>
      </c>
      <c r="Z31">
        <v>198.96</v>
      </c>
      <c r="AA31">
        <v>2411.75</v>
      </c>
      <c r="AB31">
        <v>925.63</v>
      </c>
      <c r="AC31">
        <v>0</v>
      </c>
      <c r="AD31">
        <v>0</v>
      </c>
      <c r="AE31">
        <v>36.61</v>
      </c>
      <c r="AF31">
        <v>7848.52</v>
      </c>
      <c r="AG31">
        <v>1242</v>
      </c>
      <c r="AH31">
        <v>4625.88</v>
      </c>
      <c r="AJ31">
        <v>3905.56</v>
      </c>
      <c r="AL31">
        <v>11152.9</v>
      </c>
      <c r="AM31">
        <v>27535.34</v>
      </c>
      <c r="AN31">
        <v>5956.12</v>
      </c>
      <c r="AO31">
        <v>2788.28</v>
      </c>
      <c r="AP31">
        <v>6164.15</v>
      </c>
      <c r="AQ31">
        <v>4363.6000000000004</v>
      </c>
      <c r="AR31">
        <v>0</v>
      </c>
      <c r="AS31">
        <v>935.55</v>
      </c>
      <c r="AT31">
        <v>3843.12</v>
      </c>
      <c r="AV31">
        <v>15.67</v>
      </c>
      <c r="AW31">
        <v>118.98</v>
      </c>
      <c r="AX31">
        <v>12068.49</v>
      </c>
      <c r="AY31">
        <v>258.36</v>
      </c>
      <c r="AZ31">
        <v>13.56</v>
      </c>
      <c r="BA31">
        <v>7700.87</v>
      </c>
      <c r="BB31">
        <v>76.05</v>
      </c>
      <c r="BC31">
        <v>17.690000000000001</v>
      </c>
      <c r="BD31">
        <v>7106.67</v>
      </c>
      <c r="BE31">
        <v>6309.9</v>
      </c>
      <c r="BF31">
        <v>8792.44</v>
      </c>
      <c r="BG31">
        <v>2026.04</v>
      </c>
      <c r="BH31">
        <v>1760.87</v>
      </c>
    </row>
    <row r="32" spans="1:61" x14ac:dyDescent="0.2">
      <c r="A32" s="113" t="s">
        <v>52</v>
      </c>
      <c r="C32">
        <v>114.4</v>
      </c>
      <c r="E32">
        <v>16.46</v>
      </c>
      <c r="F32">
        <v>260.25</v>
      </c>
      <c r="H32">
        <v>160.91</v>
      </c>
      <c r="I32">
        <v>784.01</v>
      </c>
      <c r="K32">
        <v>132.13</v>
      </c>
      <c r="L32">
        <v>24.25</v>
      </c>
      <c r="M32">
        <v>56.53</v>
      </c>
      <c r="N32">
        <v>17.75</v>
      </c>
      <c r="O32">
        <v>181.43</v>
      </c>
      <c r="P32">
        <v>82.14</v>
      </c>
      <c r="Q32">
        <v>408.17</v>
      </c>
      <c r="R32">
        <v>49.32</v>
      </c>
      <c r="S32">
        <v>433.62</v>
      </c>
      <c r="U32">
        <v>30.15</v>
      </c>
      <c r="V32">
        <v>251.37</v>
      </c>
      <c r="W32">
        <v>19.57</v>
      </c>
      <c r="X32">
        <v>17.16</v>
      </c>
      <c r="Y32">
        <v>1151.18</v>
      </c>
      <c r="Z32">
        <v>181.43</v>
      </c>
      <c r="AA32">
        <v>2881.62</v>
      </c>
      <c r="AB32">
        <v>819.39</v>
      </c>
      <c r="AC32">
        <v>0</v>
      </c>
      <c r="AD32">
        <v>0</v>
      </c>
      <c r="AE32">
        <v>115.29</v>
      </c>
      <c r="AF32">
        <v>0</v>
      </c>
      <c r="AG32">
        <v>615.61</v>
      </c>
      <c r="AH32">
        <v>1023.19</v>
      </c>
      <c r="AJ32">
        <v>933.27</v>
      </c>
      <c r="AL32">
        <v>12905</v>
      </c>
      <c r="AM32">
        <v>12410.98</v>
      </c>
      <c r="AN32">
        <v>1098.3599999999999</v>
      </c>
      <c r="AP32">
        <v>7831.01</v>
      </c>
      <c r="AQ32">
        <v>5568.02</v>
      </c>
      <c r="AR32">
        <v>0</v>
      </c>
      <c r="AS32">
        <v>1305.08</v>
      </c>
      <c r="AT32">
        <v>176.74</v>
      </c>
      <c r="AV32">
        <v>14.69</v>
      </c>
      <c r="AW32">
        <v>120.67</v>
      </c>
      <c r="AX32">
        <v>0</v>
      </c>
      <c r="AY32">
        <v>314.51</v>
      </c>
      <c r="AZ32">
        <v>12.54</v>
      </c>
      <c r="BA32">
        <v>3829.25</v>
      </c>
      <c r="BB32">
        <v>109.9</v>
      </c>
      <c r="BD32">
        <v>7106.67</v>
      </c>
      <c r="BE32">
        <v>6309.9</v>
      </c>
      <c r="BF32">
        <v>8792.44</v>
      </c>
      <c r="BG32">
        <v>144.71</v>
      </c>
      <c r="BH32">
        <v>2051.5100000000002</v>
      </c>
    </row>
    <row r="33" spans="1:61" ht="13.5" thickBot="1" x14ac:dyDescent="0.25">
      <c r="A33" s="106" t="s">
        <v>58</v>
      </c>
      <c r="B33" s="116">
        <f>SUM(B21:B32)</f>
        <v>0</v>
      </c>
      <c r="C33" s="116">
        <f>SUM(C21:C32)</f>
        <v>611.18999999999994</v>
      </c>
      <c r="D33" s="116"/>
      <c r="E33" s="116">
        <f t="shared" ref="E33:BF33" si="6">SUM(E21:E32)</f>
        <v>189.38000000000002</v>
      </c>
      <c r="F33" s="116">
        <f t="shared" si="6"/>
        <v>1282.9699999999998</v>
      </c>
      <c r="G33" s="117">
        <f t="shared" si="6"/>
        <v>0</v>
      </c>
      <c r="H33" s="116">
        <f t="shared" si="6"/>
        <v>1049.73</v>
      </c>
      <c r="I33" s="117">
        <f t="shared" si="6"/>
        <v>4051.5600000000004</v>
      </c>
      <c r="J33" s="118">
        <f t="shared" si="6"/>
        <v>0</v>
      </c>
      <c r="K33" s="117">
        <f t="shared" si="6"/>
        <v>823.66</v>
      </c>
      <c r="L33" s="117">
        <f t="shared" si="6"/>
        <v>262.5</v>
      </c>
      <c r="M33" s="117">
        <f t="shared" si="6"/>
        <v>419.57000000000005</v>
      </c>
      <c r="N33" s="117">
        <f t="shared" si="6"/>
        <v>199.36</v>
      </c>
      <c r="O33" s="119">
        <f t="shared" si="6"/>
        <v>1256.94</v>
      </c>
      <c r="P33" s="117">
        <f t="shared" si="6"/>
        <v>749.7600000000001</v>
      </c>
      <c r="Q33" s="119">
        <f t="shared" si="6"/>
        <v>1934.52</v>
      </c>
      <c r="R33" s="119">
        <f t="shared" si="6"/>
        <v>476.57000000000005</v>
      </c>
      <c r="S33" s="119">
        <f t="shared" si="6"/>
        <v>2925.2</v>
      </c>
      <c r="T33" s="117">
        <f t="shared" si="6"/>
        <v>0</v>
      </c>
      <c r="U33" s="119">
        <f t="shared" si="6"/>
        <v>314.77999999999997</v>
      </c>
      <c r="V33" s="119">
        <f t="shared" si="6"/>
        <v>1671.8000000000002</v>
      </c>
      <c r="W33" s="117">
        <f t="shared" si="6"/>
        <v>216.91</v>
      </c>
      <c r="X33" s="119">
        <f t="shared" si="6"/>
        <v>193.68</v>
      </c>
      <c r="Y33" s="119">
        <f t="shared" si="6"/>
        <v>5930.59</v>
      </c>
      <c r="Z33" s="119">
        <f t="shared" si="6"/>
        <v>1227.44</v>
      </c>
      <c r="AA33" s="119">
        <f t="shared" si="6"/>
        <v>18721.89</v>
      </c>
      <c r="AB33" s="119">
        <f t="shared" si="6"/>
        <v>5692.14</v>
      </c>
      <c r="AC33" s="119">
        <f>SUM(AC21:AC32)</f>
        <v>-57.82</v>
      </c>
      <c r="AD33" s="119">
        <f>SUM(AD21:AD32)</f>
        <v>0</v>
      </c>
      <c r="AE33" s="119"/>
      <c r="AF33" s="119">
        <f>SUM(AF21:AF32)</f>
        <v>25025.16</v>
      </c>
      <c r="AG33" s="119">
        <f>SUM(AG21:AG32)</f>
        <v>19396.53</v>
      </c>
      <c r="AH33" s="119">
        <f>SUM(AH21:AH32)</f>
        <v>35706.69</v>
      </c>
      <c r="AI33" s="119">
        <f>SUM(AI21:AI32)</f>
        <v>0</v>
      </c>
      <c r="AJ33" s="119">
        <f>SUM(AJ21:AJ32)</f>
        <v>19278.420000000002</v>
      </c>
      <c r="AK33" s="119">
        <f t="shared" si="6"/>
        <v>0</v>
      </c>
      <c r="AL33" s="119">
        <f t="shared" si="6"/>
        <v>41785.449999999997</v>
      </c>
      <c r="AM33" s="117">
        <f t="shared" si="6"/>
        <v>130174.65999999999</v>
      </c>
      <c r="AN33" s="117">
        <f t="shared" si="6"/>
        <v>43806.920000000006</v>
      </c>
      <c r="AO33" s="119">
        <f t="shared" si="6"/>
        <v>-8970.9599999999937</v>
      </c>
      <c r="AP33" s="119">
        <f t="shared" si="6"/>
        <v>51185.680000000008</v>
      </c>
      <c r="AQ33" s="119">
        <f t="shared" si="6"/>
        <v>39924.259999999995</v>
      </c>
      <c r="AR33" s="119">
        <f t="shared" si="6"/>
        <v>20766.550000000003</v>
      </c>
      <c r="AS33" s="119">
        <f t="shared" si="6"/>
        <v>32366.480000000003</v>
      </c>
      <c r="AT33" s="119">
        <f t="shared" si="6"/>
        <v>27166.41</v>
      </c>
      <c r="AU33" s="119">
        <f t="shared" si="6"/>
        <v>0</v>
      </c>
      <c r="AV33" s="119">
        <f t="shared" si="6"/>
        <v>173.21999999999997</v>
      </c>
      <c r="AW33" s="119">
        <f t="shared" si="6"/>
        <v>898.93000000000006</v>
      </c>
      <c r="AX33" s="119">
        <f>SUM(AX21:AX32)</f>
        <v>24510.9</v>
      </c>
      <c r="AY33" s="119">
        <f t="shared" si="6"/>
        <v>1796.3200000000004</v>
      </c>
      <c r="AZ33" s="119">
        <f t="shared" si="6"/>
        <v>146.08999999999997</v>
      </c>
      <c r="BA33" s="119">
        <f t="shared" si="6"/>
        <v>82778.909999999989</v>
      </c>
      <c r="BB33" s="119">
        <f t="shared" si="6"/>
        <v>745.91999999999985</v>
      </c>
      <c r="BC33" s="119">
        <f t="shared" si="6"/>
        <v>182.06</v>
      </c>
      <c r="BD33" s="119">
        <f t="shared" si="6"/>
        <v>81748</v>
      </c>
      <c r="BE33" s="119">
        <f t="shared" si="6"/>
        <v>72836.689999999988</v>
      </c>
      <c r="BF33" s="119">
        <f t="shared" si="6"/>
        <v>101427.75</v>
      </c>
      <c r="BG33" s="119">
        <f>SUM(BG21:BG32)</f>
        <v>46247.42</v>
      </c>
      <c r="BH33" s="119">
        <f>SUM(BH21:BH32)</f>
        <v>8148.130000000001</v>
      </c>
      <c r="BI33" s="119">
        <f>SUM(BI21:BI32)</f>
        <v>-8.1199999999999992</v>
      </c>
    </row>
    <row r="34" spans="1:61" ht="13.5" thickTop="1" x14ac:dyDescent="0.2">
      <c r="A34" s="120"/>
      <c r="B34" s="120" t="str">
        <f t="shared" ref="B34:AY34" si="7">IF(B16=0,"",(B33/B16))</f>
        <v/>
      </c>
      <c r="C34" s="120">
        <f t="shared" si="7"/>
        <v>0.97168521462639101</v>
      </c>
      <c r="D34" s="120" t="str">
        <f t="shared" si="7"/>
        <v/>
      </c>
      <c r="E34" s="120" t="str">
        <f t="shared" si="7"/>
        <v/>
      </c>
      <c r="F34" s="120">
        <f t="shared" si="7"/>
        <v>0.76595223880597008</v>
      </c>
      <c r="G34" s="120" t="str">
        <f t="shared" si="7"/>
        <v/>
      </c>
      <c r="H34" s="120">
        <f t="shared" si="7"/>
        <v>0.82982608695652171</v>
      </c>
      <c r="I34" s="120">
        <f t="shared" si="7"/>
        <v>0.70572374150844808</v>
      </c>
      <c r="J34" s="120" t="str">
        <f t="shared" si="7"/>
        <v/>
      </c>
      <c r="K34" s="120">
        <f t="shared" si="7"/>
        <v>0.89140692640692643</v>
      </c>
      <c r="L34" s="120">
        <f t="shared" si="7"/>
        <v>2.763157894736842</v>
      </c>
      <c r="M34" s="120">
        <f t="shared" si="7"/>
        <v>1.2949691358024693</v>
      </c>
      <c r="N34" s="120">
        <f t="shared" si="7"/>
        <v>2.8102621934028758E-2</v>
      </c>
      <c r="O34" s="120">
        <f t="shared" si="7"/>
        <v>0.34983022543835235</v>
      </c>
      <c r="P34" s="120">
        <f t="shared" si="7"/>
        <v>1.1274586466165415</v>
      </c>
      <c r="Q34" s="120">
        <f t="shared" si="7"/>
        <v>0.71410852713178297</v>
      </c>
      <c r="R34" s="120">
        <f t="shared" si="7"/>
        <v>1.1213411764705883</v>
      </c>
      <c r="S34" s="120">
        <f t="shared" si="7"/>
        <v>0.19292969265268434</v>
      </c>
      <c r="T34" s="120" t="str">
        <f t="shared" si="7"/>
        <v/>
      </c>
      <c r="U34" s="120">
        <f t="shared" si="7"/>
        <v>6.16611165523996E-2</v>
      </c>
      <c r="V34" s="120">
        <f t="shared" si="7"/>
        <v>0.47548350398179756</v>
      </c>
      <c r="W34" s="120">
        <f t="shared" si="7"/>
        <v>4.6151063829787233</v>
      </c>
      <c r="X34" s="120" t="str">
        <f t="shared" si="7"/>
        <v/>
      </c>
      <c r="Y34" s="120">
        <f t="shared" si="7"/>
        <v>0.33723359490503813</v>
      </c>
      <c r="Z34" s="120">
        <f t="shared" si="7"/>
        <v>0.21985312555973491</v>
      </c>
      <c r="AA34" s="120">
        <f t="shared" si="7"/>
        <v>0.17864057937825614</v>
      </c>
      <c r="AB34" s="120">
        <f t="shared" si="7"/>
        <v>0.66746482176360233</v>
      </c>
      <c r="AC34" s="120">
        <f t="shared" si="7"/>
        <v>-0.37545454545454543</v>
      </c>
      <c r="AD34" s="120" t="str">
        <f t="shared" si="7"/>
        <v/>
      </c>
      <c r="AE34" s="120">
        <f t="shared" si="7"/>
        <v>0</v>
      </c>
      <c r="AF34" s="120">
        <f t="shared" si="7"/>
        <v>0.49391438214222272</v>
      </c>
      <c r="AG34" s="120">
        <f t="shared" si="7"/>
        <v>0.40722491654594695</v>
      </c>
      <c r="AH34" s="120">
        <f t="shared" si="7"/>
        <v>0.35408550008924855</v>
      </c>
      <c r="AI34" s="120" t="str">
        <f t="shared" si="7"/>
        <v/>
      </c>
      <c r="AJ34" s="120">
        <f t="shared" si="7"/>
        <v>0.61732428191744859</v>
      </c>
      <c r="AK34" s="120" t="str">
        <f t="shared" si="7"/>
        <v/>
      </c>
      <c r="AL34" s="120">
        <f t="shared" si="7"/>
        <v>0.72367035555324633</v>
      </c>
      <c r="AM34" s="120">
        <f t="shared" si="7"/>
        <v>0.58412530176707611</v>
      </c>
      <c r="AN34" s="120">
        <f t="shared" si="7"/>
        <v>0.49886599933950559</v>
      </c>
      <c r="AO34" s="120">
        <f t="shared" si="7"/>
        <v>-0.12895053831447906</v>
      </c>
      <c r="AP34" s="120">
        <f t="shared" si="7"/>
        <v>0.4223833375968577</v>
      </c>
      <c r="AQ34" s="120">
        <f t="shared" si="7"/>
        <v>0.42488437184057887</v>
      </c>
      <c r="AR34" s="120">
        <f t="shared" si="7"/>
        <v>0.98841266063779165</v>
      </c>
      <c r="AS34" s="120">
        <f t="shared" si="7"/>
        <v>0.550778184293372</v>
      </c>
      <c r="AT34" s="120">
        <f t="shared" si="7"/>
        <v>0.56125467429704767</v>
      </c>
      <c r="AU34" s="120" t="str">
        <f t="shared" si="7"/>
        <v/>
      </c>
      <c r="AV34" s="120">
        <f t="shared" si="7"/>
        <v>6.3265157048940826E-2</v>
      </c>
      <c r="AW34" s="120">
        <f t="shared" si="7"/>
        <v>0.86769305019305021</v>
      </c>
      <c r="AX34" s="120">
        <f t="shared" si="7"/>
        <v>0.50207706016100295</v>
      </c>
      <c r="AY34" s="120">
        <f t="shared" si="7"/>
        <v>0.75858108108108124</v>
      </c>
      <c r="AZ34" s="120"/>
      <c r="BA34" s="120"/>
      <c r="BB34" s="120"/>
      <c r="BC34" s="120"/>
      <c r="BD34" s="120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4"/>
  <sheetViews>
    <sheetView topLeftCell="A13" workbookViewId="0">
      <selection activeCell="A20" sqref="A20"/>
    </sheetView>
  </sheetViews>
  <sheetFormatPr defaultRowHeight="12.75" x14ac:dyDescent="0.2"/>
  <cols>
    <col min="9" max="9" width="10.7109375" customWidth="1"/>
    <col min="19" max="19" width="10.85546875" customWidth="1"/>
    <col min="25" max="25" width="12.85546875" customWidth="1"/>
    <col min="27" max="27" width="11.7109375" customWidth="1"/>
    <col min="28" max="28" width="13.28515625" customWidth="1"/>
    <col min="32" max="32" width="10.5703125" customWidth="1"/>
    <col min="33" max="34" width="11.85546875" customWidth="1"/>
    <col min="36" max="36" width="11.28515625" customWidth="1"/>
    <col min="38" max="38" width="11.7109375" customWidth="1"/>
    <col min="39" max="39" width="16.28515625" customWidth="1"/>
    <col min="40" max="40" width="11.5703125" customWidth="1"/>
    <col min="41" max="41" width="11.140625" customWidth="1"/>
    <col min="42" max="44" width="11.28515625" customWidth="1"/>
    <col min="45" max="45" width="13.28515625" customWidth="1"/>
    <col min="46" max="46" width="10.7109375" customWidth="1"/>
    <col min="50" max="50" width="12.140625" customWidth="1"/>
    <col min="51" max="51" width="13.7109375" customWidth="1"/>
    <col min="53" max="53" width="11.85546875" customWidth="1"/>
    <col min="56" max="56" width="13.5703125" customWidth="1"/>
    <col min="57" max="57" width="13.140625" customWidth="1"/>
    <col min="58" max="58" width="12.85546875" customWidth="1"/>
    <col min="59" max="59" width="10.7109375" customWidth="1"/>
    <col min="60" max="60" width="12.42578125" customWidth="1"/>
    <col min="61" max="62" width="16.28515625" customWidth="1"/>
  </cols>
  <sheetData>
    <row r="1" spans="1:62" x14ac:dyDescent="0.2">
      <c r="A1" s="1" t="s">
        <v>64</v>
      </c>
      <c r="B1" s="47">
        <v>594386</v>
      </c>
      <c r="C1" s="26">
        <v>1588956</v>
      </c>
      <c r="D1" s="26"/>
      <c r="E1" s="48">
        <v>33513</v>
      </c>
      <c r="F1" s="48">
        <v>33514</v>
      </c>
      <c r="G1" s="48">
        <v>105744</v>
      </c>
      <c r="H1" s="49">
        <v>263686</v>
      </c>
      <c r="I1" s="26">
        <v>263691</v>
      </c>
      <c r="J1" s="48">
        <v>263754</v>
      </c>
      <c r="K1" s="48">
        <v>539243</v>
      </c>
      <c r="L1" s="26">
        <v>539246</v>
      </c>
      <c r="M1" s="26">
        <v>574126</v>
      </c>
      <c r="N1" s="26">
        <v>637887</v>
      </c>
      <c r="O1" s="26">
        <v>637888</v>
      </c>
      <c r="P1" s="26">
        <v>637889</v>
      </c>
      <c r="Q1" s="26">
        <v>637890</v>
      </c>
      <c r="R1" s="26">
        <v>637892</v>
      </c>
      <c r="S1" s="26">
        <v>647598</v>
      </c>
      <c r="T1" s="26">
        <v>647856</v>
      </c>
      <c r="U1" s="26">
        <v>687022</v>
      </c>
      <c r="V1" s="26">
        <v>687023</v>
      </c>
      <c r="W1" s="26">
        <v>687831</v>
      </c>
      <c r="X1" s="26">
        <v>740818</v>
      </c>
      <c r="Y1" s="26">
        <v>740824</v>
      </c>
      <c r="Z1" s="26">
        <v>740838</v>
      </c>
      <c r="AA1" s="26">
        <v>740876</v>
      </c>
      <c r="AB1" s="26">
        <v>740882</v>
      </c>
      <c r="AC1" s="50">
        <v>741089</v>
      </c>
      <c r="AD1" s="50">
        <v>742815</v>
      </c>
      <c r="AE1" s="26">
        <v>742950</v>
      </c>
      <c r="AF1" s="50">
        <v>749325</v>
      </c>
      <c r="AG1" s="51">
        <v>749330</v>
      </c>
      <c r="AH1" s="50">
        <v>749334</v>
      </c>
      <c r="AI1" s="52">
        <v>749339</v>
      </c>
      <c r="AJ1" s="53">
        <v>762803</v>
      </c>
      <c r="AK1" s="54">
        <v>765933</v>
      </c>
      <c r="AL1" s="53">
        <v>868849</v>
      </c>
      <c r="AM1" s="53">
        <v>869044</v>
      </c>
      <c r="AN1" s="53">
        <v>869127</v>
      </c>
      <c r="AO1" s="53">
        <v>869308</v>
      </c>
      <c r="AP1" s="53">
        <v>869309</v>
      </c>
      <c r="AQ1" s="53">
        <v>869446</v>
      </c>
      <c r="AR1" s="53">
        <v>888353</v>
      </c>
      <c r="AS1" s="53">
        <v>888354</v>
      </c>
      <c r="AT1" s="53">
        <v>888355</v>
      </c>
      <c r="AU1" s="48">
        <v>1060882</v>
      </c>
      <c r="AV1" s="26">
        <v>1064052</v>
      </c>
      <c r="AW1" s="7" t="s">
        <v>2</v>
      </c>
      <c r="AX1" s="44">
        <v>672937</v>
      </c>
      <c r="AY1" s="7">
        <v>1342205</v>
      </c>
      <c r="AZ1" s="7">
        <v>3452105</v>
      </c>
      <c r="BA1" s="7">
        <v>9224993</v>
      </c>
      <c r="BB1" s="7">
        <v>10471</v>
      </c>
      <c r="BC1" s="1">
        <v>10511133</v>
      </c>
      <c r="BD1" s="1">
        <v>7519036</v>
      </c>
      <c r="BE1" s="7">
        <v>8395898</v>
      </c>
      <c r="BF1" s="7">
        <v>8395895</v>
      </c>
      <c r="BG1" s="7" t="s">
        <v>83</v>
      </c>
      <c r="BH1" s="7">
        <v>6400406302</v>
      </c>
      <c r="BI1" s="7" t="s">
        <v>87</v>
      </c>
      <c r="BJ1" s="7" t="s">
        <v>89</v>
      </c>
    </row>
    <row r="2" spans="1:62" ht="51" x14ac:dyDescent="0.2">
      <c r="A2" s="99">
        <v>2020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80</v>
      </c>
      <c r="BE2" s="105" t="s">
        <v>81</v>
      </c>
      <c r="BF2" s="105" t="s">
        <v>82</v>
      </c>
      <c r="BG2" s="105" t="s">
        <v>84</v>
      </c>
      <c r="BH2" s="105" t="s">
        <v>85</v>
      </c>
      <c r="BI2" s="105" t="s">
        <v>88</v>
      </c>
      <c r="BJ2" s="105" t="s">
        <v>90</v>
      </c>
    </row>
    <row r="3" spans="1:62" x14ac:dyDescent="0.2">
      <c r="A3" s="26" t="s">
        <v>59</v>
      </c>
      <c r="C3">
        <v>85</v>
      </c>
      <c r="E3">
        <v>0</v>
      </c>
      <c r="F3">
        <v>410</v>
      </c>
      <c r="H3">
        <v>286</v>
      </c>
      <c r="I3">
        <v>1375</v>
      </c>
      <c r="K3">
        <v>161</v>
      </c>
      <c r="L3">
        <v>10</v>
      </c>
      <c r="M3">
        <v>60</v>
      </c>
      <c r="N3">
        <v>0</v>
      </c>
      <c r="O3">
        <v>240</v>
      </c>
      <c r="P3">
        <v>107</v>
      </c>
      <c r="Q3">
        <v>513</v>
      </c>
      <c r="R3">
        <v>112</v>
      </c>
      <c r="S3">
        <v>627</v>
      </c>
      <c r="U3">
        <v>17</v>
      </c>
      <c r="V3">
        <v>386</v>
      </c>
      <c r="W3">
        <v>5</v>
      </c>
      <c r="X3">
        <v>0</v>
      </c>
      <c r="Y3">
        <v>2004</v>
      </c>
      <c r="Z3">
        <v>356</v>
      </c>
      <c r="AA3">
        <v>4947</v>
      </c>
      <c r="AB3">
        <v>1439</v>
      </c>
      <c r="AC3">
        <v>0</v>
      </c>
      <c r="AD3">
        <v>0</v>
      </c>
      <c r="AE3">
        <v>169</v>
      </c>
      <c r="AF3">
        <v>0</v>
      </c>
      <c r="AG3">
        <v>5</v>
      </c>
      <c r="AH3">
        <v>0</v>
      </c>
      <c r="AJ3">
        <v>325</v>
      </c>
      <c r="AL3">
        <v>668</v>
      </c>
      <c r="AM3">
        <v>6578</v>
      </c>
      <c r="AN3">
        <v>1943</v>
      </c>
      <c r="AO3">
        <v>68</v>
      </c>
      <c r="AP3">
        <v>5808</v>
      </c>
      <c r="AQ3">
        <v>3292</v>
      </c>
      <c r="AR3">
        <v>0</v>
      </c>
      <c r="AS3">
        <v>41</v>
      </c>
      <c r="AT3">
        <v>0</v>
      </c>
      <c r="AV3">
        <v>2</v>
      </c>
      <c r="AW3">
        <v>204</v>
      </c>
      <c r="AX3">
        <v>0</v>
      </c>
      <c r="AY3">
        <v>438</v>
      </c>
      <c r="AZ3">
        <v>0</v>
      </c>
      <c r="BA3">
        <v>0</v>
      </c>
      <c r="BB3">
        <v>124</v>
      </c>
      <c r="BC3">
        <v>0</v>
      </c>
      <c r="BD3">
        <v>42502</v>
      </c>
      <c r="BE3">
        <v>28991</v>
      </c>
      <c r="BF3">
        <v>74411</v>
      </c>
      <c r="BG3">
        <v>0</v>
      </c>
      <c r="BH3">
        <v>2733</v>
      </c>
      <c r="BI3">
        <v>390</v>
      </c>
      <c r="BJ3">
        <v>0</v>
      </c>
    </row>
    <row r="4" spans="1:62" x14ac:dyDescent="0.2">
      <c r="A4" s="25" t="s">
        <v>42</v>
      </c>
      <c r="C4">
        <v>145</v>
      </c>
      <c r="E4">
        <v>0</v>
      </c>
      <c r="F4">
        <v>418</v>
      </c>
      <c r="H4">
        <v>260</v>
      </c>
      <c r="I4">
        <v>1245</v>
      </c>
      <c r="K4">
        <v>160</v>
      </c>
      <c r="L4">
        <v>11</v>
      </c>
      <c r="M4">
        <v>68</v>
      </c>
      <c r="N4">
        <v>0</v>
      </c>
      <c r="O4">
        <v>197</v>
      </c>
      <c r="P4">
        <v>108</v>
      </c>
      <c r="Q4">
        <v>574</v>
      </c>
      <c r="R4">
        <v>89</v>
      </c>
      <c r="S4">
        <v>633</v>
      </c>
      <c r="U4">
        <v>17</v>
      </c>
      <c r="V4">
        <v>371</v>
      </c>
      <c r="W4">
        <v>6</v>
      </c>
      <c r="X4">
        <v>0</v>
      </c>
      <c r="Y4">
        <v>1697</v>
      </c>
      <c r="Z4">
        <v>326</v>
      </c>
      <c r="AA4">
        <v>4874</v>
      </c>
      <c r="AB4">
        <v>1382</v>
      </c>
      <c r="AC4">
        <v>0</v>
      </c>
      <c r="AD4">
        <v>0</v>
      </c>
      <c r="AE4">
        <v>8</v>
      </c>
      <c r="AF4">
        <v>0</v>
      </c>
      <c r="AG4">
        <v>0</v>
      </c>
      <c r="AH4">
        <v>2527</v>
      </c>
      <c r="AJ4">
        <v>0</v>
      </c>
      <c r="AL4">
        <v>20</v>
      </c>
      <c r="AM4">
        <v>3802</v>
      </c>
      <c r="AN4">
        <v>582</v>
      </c>
      <c r="AO4">
        <v>0</v>
      </c>
      <c r="AP4">
        <v>311</v>
      </c>
      <c r="AQ4">
        <v>211</v>
      </c>
      <c r="AR4">
        <v>0</v>
      </c>
      <c r="AS4">
        <v>45</v>
      </c>
      <c r="AT4">
        <v>0</v>
      </c>
      <c r="AV4">
        <v>2</v>
      </c>
      <c r="AW4">
        <v>210</v>
      </c>
      <c r="AX4">
        <v>0</v>
      </c>
      <c r="AY4">
        <v>468</v>
      </c>
      <c r="AZ4">
        <v>0</v>
      </c>
      <c r="BA4">
        <v>0</v>
      </c>
      <c r="BB4">
        <v>128</v>
      </c>
      <c r="BC4">
        <v>0</v>
      </c>
      <c r="BD4">
        <v>39239</v>
      </c>
      <c r="BE4">
        <v>32784</v>
      </c>
      <c r="BF4">
        <v>73998</v>
      </c>
      <c r="BG4">
        <v>0</v>
      </c>
      <c r="BH4">
        <v>2740</v>
      </c>
      <c r="BI4">
        <v>355</v>
      </c>
      <c r="BJ4">
        <v>941</v>
      </c>
    </row>
    <row r="5" spans="1:62" x14ac:dyDescent="0.2">
      <c r="A5" s="25" t="s">
        <v>43</v>
      </c>
      <c r="C5">
        <v>112</v>
      </c>
      <c r="E5">
        <v>0</v>
      </c>
      <c r="F5">
        <v>0</v>
      </c>
      <c r="H5">
        <v>190</v>
      </c>
      <c r="I5">
        <v>808</v>
      </c>
      <c r="K5">
        <v>0</v>
      </c>
      <c r="L5">
        <v>0</v>
      </c>
      <c r="M5">
        <v>0</v>
      </c>
      <c r="N5">
        <v>0</v>
      </c>
      <c r="O5">
        <v>0</v>
      </c>
      <c r="P5">
        <v>109</v>
      </c>
      <c r="Q5">
        <v>0</v>
      </c>
      <c r="R5">
        <v>0</v>
      </c>
      <c r="S5">
        <v>0</v>
      </c>
      <c r="U5">
        <v>13</v>
      </c>
      <c r="V5">
        <v>116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0</v>
      </c>
      <c r="AG5">
        <v>0</v>
      </c>
      <c r="AH5">
        <v>0</v>
      </c>
      <c r="AJ5">
        <v>0</v>
      </c>
      <c r="AL5">
        <v>0</v>
      </c>
      <c r="AM5">
        <v>1033</v>
      </c>
      <c r="AN5">
        <v>301</v>
      </c>
      <c r="AO5">
        <v>0</v>
      </c>
      <c r="AP5">
        <v>217</v>
      </c>
      <c r="AQ5">
        <v>147</v>
      </c>
      <c r="AR5">
        <v>0</v>
      </c>
      <c r="AS5">
        <v>23</v>
      </c>
      <c r="AT5">
        <v>5</v>
      </c>
      <c r="AV5">
        <v>2</v>
      </c>
      <c r="AW5">
        <v>55</v>
      </c>
      <c r="AX5">
        <v>0</v>
      </c>
      <c r="AY5">
        <v>0</v>
      </c>
      <c r="AZ5">
        <v>0</v>
      </c>
      <c r="BA5">
        <v>0</v>
      </c>
      <c r="BB5">
        <v>83</v>
      </c>
      <c r="BC5">
        <v>0</v>
      </c>
      <c r="BD5">
        <v>0</v>
      </c>
      <c r="BE5">
        <v>0</v>
      </c>
      <c r="BF5">
        <v>0</v>
      </c>
      <c r="BG5">
        <v>0</v>
      </c>
      <c r="BH5">
        <v>1234</v>
      </c>
      <c r="BI5">
        <v>0</v>
      </c>
      <c r="BJ5">
        <v>0</v>
      </c>
    </row>
    <row r="6" spans="1:62" x14ac:dyDescent="0.2">
      <c r="A6" s="25" t="s">
        <v>44</v>
      </c>
      <c r="C6">
        <v>11</v>
      </c>
      <c r="E6">
        <v>0</v>
      </c>
      <c r="F6">
        <v>43</v>
      </c>
      <c r="H6">
        <v>10</v>
      </c>
      <c r="I6">
        <v>189</v>
      </c>
      <c r="K6">
        <v>42</v>
      </c>
      <c r="L6">
        <v>11</v>
      </c>
      <c r="M6">
        <v>0</v>
      </c>
      <c r="N6">
        <v>0</v>
      </c>
      <c r="O6">
        <v>11</v>
      </c>
      <c r="P6">
        <v>45</v>
      </c>
      <c r="Q6">
        <v>44</v>
      </c>
      <c r="R6">
        <v>7</v>
      </c>
      <c r="S6">
        <v>43</v>
      </c>
      <c r="U6">
        <v>0</v>
      </c>
      <c r="V6">
        <v>0</v>
      </c>
      <c r="W6">
        <v>3</v>
      </c>
      <c r="X6">
        <v>0</v>
      </c>
      <c r="Y6">
        <v>309</v>
      </c>
      <c r="Z6">
        <v>29</v>
      </c>
      <c r="AA6">
        <v>1924</v>
      </c>
      <c r="AB6">
        <v>314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J6">
        <v>0</v>
      </c>
      <c r="AL6">
        <v>0</v>
      </c>
      <c r="AM6">
        <v>216</v>
      </c>
      <c r="AN6">
        <v>161</v>
      </c>
      <c r="AO6">
        <v>0</v>
      </c>
      <c r="AP6">
        <v>105</v>
      </c>
      <c r="AQ6">
        <v>101</v>
      </c>
      <c r="AR6">
        <v>0</v>
      </c>
      <c r="AS6">
        <v>8</v>
      </c>
      <c r="AT6">
        <v>0</v>
      </c>
      <c r="AV6">
        <v>2</v>
      </c>
      <c r="AW6">
        <v>14</v>
      </c>
      <c r="AX6">
        <v>0</v>
      </c>
      <c r="AY6">
        <v>86</v>
      </c>
      <c r="AZ6">
        <v>0</v>
      </c>
      <c r="BA6">
        <v>0</v>
      </c>
      <c r="BB6">
        <v>25</v>
      </c>
      <c r="BC6">
        <v>0</v>
      </c>
      <c r="BD6">
        <v>41856</v>
      </c>
      <c r="BE6">
        <v>32830</v>
      </c>
      <c r="BF6">
        <v>67952</v>
      </c>
      <c r="BG6">
        <v>0</v>
      </c>
      <c r="BH6">
        <v>16</v>
      </c>
      <c r="BI6">
        <v>0</v>
      </c>
      <c r="BJ6">
        <v>0</v>
      </c>
    </row>
    <row r="7" spans="1:62" x14ac:dyDescent="0.2">
      <c r="A7" s="25" t="s">
        <v>45</v>
      </c>
      <c r="C7">
        <v>9</v>
      </c>
      <c r="E7">
        <v>9</v>
      </c>
      <c r="F7">
        <v>3</v>
      </c>
      <c r="H7">
        <v>10</v>
      </c>
      <c r="I7">
        <v>61</v>
      </c>
      <c r="K7">
        <v>4</v>
      </c>
      <c r="L7">
        <v>10</v>
      </c>
      <c r="M7">
        <v>0</v>
      </c>
      <c r="N7">
        <v>1</v>
      </c>
      <c r="O7">
        <v>0</v>
      </c>
      <c r="P7">
        <v>13</v>
      </c>
      <c r="Q7">
        <v>15</v>
      </c>
      <c r="R7">
        <v>4</v>
      </c>
      <c r="S7">
        <v>58</v>
      </c>
      <c r="U7">
        <v>10</v>
      </c>
      <c r="V7">
        <v>10</v>
      </c>
      <c r="W7">
        <v>4</v>
      </c>
      <c r="X7">
        <v>0</v>
      </c>
      <c r="Y7">
        <v>72</v>
      </c>
      <c r="Z7">
        <v>4</v>
      </c>
      <c r="AA7">
        <v>1259</v>
      </c>
      <c r="AB7">
        <v>368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0</v>
      </c>
      <c r="AL7">
        <v>0</v>
      </c>
      <c r="AM7">
        <v>61</v>
      </c>
      <c r="AN7">
        <v>539</v>
      </c>
      <c r="AO7">
        <v>0</v>
      </c>
      <c r="AP7">
        <v>31</v>
      </c>
      <c r="AQ7">
        <v>48</v>
      </c>
      <c r="AR7">
        <v>0</v>
      </c>
      <c r="AS7">
        <v>1</v>
      </c>
      <c r="AT7">
        <v>0</v>
      </c>
      <c r="AV7">
        <v>2</v>
      </c>
      <c r="AW7">
        <v>1</v>
      </c>
      <c r="AX7">
        <v>0</v>
      </c>
      <c r="AY7">
        <v>23</v>
      </c>
      <c r="AZ7">
        <v>0</v>
      </c>
      <c r="BA7">
        <v>0</v>
      </c>
      <c r="BB7">
        <v>16</v>
      </c>
      <c r="BC7">
        <v>0</v>
      </c>
      <c r="BD7">
        <v>40894</v>
      </c>
      <c r="BE7">
        <v>32236</v>
      </c>
      <c r="BF7">
        <v>66714</v>
      </c>
      <c r="BG7">
        <v>0</v>
      </c>
      <c r="BH7">
        <v>16</v>
      </c>
      <c r="BI7">
        <v>0</v>
      </c>
      <c r="BJ7">
        <v>42</v>
      </c>
    </row>
    <row r="8" spans="1:62" x14ac:dyDescent="0.2">
      <c r="A8" s="25" t="s">
        <v>46</v>
      </c>
      <c r="C8">
        <v>7</v>
      </c>
      <c r="E8">
        <v>11</v>
      </c>
      <c r="F8">
        <v>1</v>
      </c>
      <c r="H8">
        <v>9</v>
      </c>
      <c r="I8">
        <v>0</v>
      </c>
      <c r="K8">
        <v>0</v>
      </c>
      <c r="L8">
        <v>8</v>
      </c>
      <c r="M8">
        <v>0</v>
      </c>
      <c r="N8">
        <v>0</v>
      </c>
      <c r="O8">
        <v>0</v>
      </c>
      <c r="P8">
        <v>8</v>
      </c>
      <c r="Q8">
        <v>3</v>
      </c>
      <c r="R8">
        <v>3</v>
      </c>
      <c r="S8">
        <v>0</v>
      </c>
      <c r="U8">
        <v>10</v>
      </c>
      <c r="V8">
        <v>6</v>
      </c>
      <c r="W8">
        <v>3</v>
      </c>
      <c r="X8">
        <v>0</v>
      </c>
      <c r="Y8">
        <v>23</v>
      </c>
      <c r="Z8">
        <v>1</v>
      </c>
      <c r="AA8">
        <v>167</v>
      </c>
      <c r="AB8">
        <v>63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J8">
        <v>0</v>
      </c>
      <c r="AL8">
        <v>0</v>
      </c>
      <c r="AM8">
        <v>20</v>
      </c>
      <c r="AN8">
        <v>863</v>
      </c>
      <c r="AO8">
        <v>0</v>
      </c>
      <c r="AP8">
        <v>1</v>
      </c>
      <c r="AQ8">
        <v>15</v>
      </c>
      <c r="AR8">
        <v>0</v>
      </c>
      <c r="AS8">
        <v>0</v>
      </c>
      <c r="AT8">
        <v>0</v>
      </c>
      <c r="AV8">
        <v>2</v>
      </c>
      <c r="AW8">
        <v>1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39223</v>
      </c>
      <c r="BE8">
        <v>30570</v>
      </c>
      <c r="BF8">
        <v>73012</v>
      </c>
      <c r="BG8">
        <v>0</v>
      </c>
      <c r="BH8">
        <v>17</v>
      </c>
      <c r="BI8">
        <v>0</v>
      </c>
      <c r="BJ8">
        <v>25</v>
      </c>
    </row>
    <row r="9" spans="1:62" x14ac:dyDescent="0.2">
      <c r="A9" s="25" t="s">
        <v>47</v>
      </c>
      <c r="C9">
        <v>8</v>
      </c>
      <c r="E9">
        <v>10</v>
      </c>
      <c r="F9">
        <v>2</v>
      </c>
      <c r="H9">
        <v>11</v>
      </c>
      <c r="I9">
        <v>0</v>
      </c>
      <c r="K9">
        <v>1</v>
      </c>
      <c r="L9">
        <v>10</v>
      </c>
      <c r="M9">
        <v>0</v>
      </c>
      <c r="N9">
        <v>0</v>
      </c>
      <c r="O9">
        <v>1</v>
      </c>
      <c r="P9">
        <v>12</v>
      </c>
      <c r="Q9">
        <v>1</v>
      </c>
      <c r="R9">
        <v>4</v>
      </c>
      <c r="S9">
        <v>0</v>
      </c>
      <c r="U9">
        <v>10</v>
      </c>
      <c r="V9">
        <v>6</v>
      </c>
      <c r="W9">
        <v>2</v>
      </c>
      <c r="X9">
        <v>0</v>
      </c>
      <c r="Y9">
        <v>24</v>
      </c>
      <c r="Z9">
        <v>0</v>
      </c>
      <c r="AA9">
        <v>169</v>
      </c>
      <c r="AB9">
        <v>82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0</v>
      </c>
      <c r="AL9">
        <v>101</v>
      </c>
      <c r="AM9">
        <v>0</v>
      </c>
      <c r="AN9">
        <v>52</v>
      </c>
      <c r="AO9">
        <v>0</v>
      </c>
      <c r="AP9">
        <v>0</v>
      </c>
      <c r="AQ9">
        <v>4</v>
      </c>
      <c r="AR9">
        <v>0</v>
      </c>
      <c r="AS9">
        <v>0</v>
      </c>
      <c r="AT9">
        <v>0</v>
      </c>
      <c r="AV9">
        <v>2</v>
      </c>
      <c r="AW9">
        <v>1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28561</v>
      </c>
      <c r="BE9">
        <v>17193</v>
      </c>
      <c r="BF9">
        <v>75237</v>
      </c>
      <c r="BG9">
        <v>0</v>
      </c>
      <c r="BH9">
        <v>0</v>
      </c>
      <c r="BI9">
        <v>0</v>
      </c>
      <c r="BJ9">
        <v>27</v>
      </c>
    </row>
    <row r="10" spans="1:62" x14ac:dyDescent="0.2">
      <c r="A10" s="25" t="s">
        <v>48</v>
      </c>
      <c r="C10">
        <v>8</v>
      </c>
      <c r="E10">
        <v>0</v>
      </c>
      <c r="F10">
        <v>0</v>
      </c>
      <c r="H10">
        <v>9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14</v>
      </c>
      <c r="Q10">
        <v>0</v>
      </c>
      <c r="R10">
        <v>0</v>
      </c>
      <c r="S10">
        <v>0</v>
      </c>
      <c r="U10">
        <v>10</v>
      </c>
      <c r="V10">
        <v>6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</v>
      </c>
      <c r="AH10">
        <v>0</v>
      </c>
      <c r="AJ10">
        <v>0</v>
      </c>
      <c r="AL10">
        <v>3475</v>
      </c>
      <c r="AM10">
        <v>0</v>
      </c>
      <c r="AN10">
        <v>1176</v>
      </c>
      <c r="AO10">
        <v>0</v>
      </c>
      <c r="AP10">
        <v>6</v>
      </c>
      <c r="AQ10">
        <v>29</v>
      </c>
      <c r="AR10">
        <v>0</v>
      </c>
      <c r="AS10">
        <v>0</v>
      </c>
      <c r="AT10">
        <v>3</v>
      </c>
      <c r="AV10">
        <v>0</v>
      </c>
      <c r="AW10">
        <v>4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43506</v>
      </c>
      <c r="BE10">
        <v>24821</v>
      </c>
      <c r="BF10">
        <v>54927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 s="25" t="s">
        <v>49</v>
      </c>
      <c r="C11">
        <v>8</v>
      </c>
      <c r="E11">
        <v>12</v>
      </c>
      <c r="F11">
        <v>1</v>
      </c>
      <c r="H11">
        <v>10</v>
      </c>
      <c r="I11">
        <v>0</v>
      </c>
      <c r="K11">
        <v>1</v>
      </c>
      <c r="L11">
        <v>11</v>
      </c>
      <c r="M11">
        <v>1</v>
      </c>
      <c r="N11">
        <v>1</v>
      </c>
      <c r="O11">
        <v>0</v>
      </c>
      <c r="P11">
        <v>16</v>
      </c>
      <c r="Q11">
        <v>12</v>
      </c>
      <c r="R11">
        <v>3</v>
      </c>
      <c r="S11">
        <v>552</v>
      </c>
      <c r="U11">
        <v>10</v>
      </c>
      <c r="V11">
        <v>6</v>
      </c>
      <c r="W11">
        <v>3</v>
      </c>
      <c r="X11">
        <v>0</v>
      </c>
      <c r="Y11">
        <v>24</v>
      </c>
      <c r="Z11">
        <v>1</v>
      </c>
      <c r="AA11">
        <v>604</v>
      </c>
      <c r="AB11">
        <v>450</v>
      </c>
      <c r="AC11">
        <v>0</v>
      </c>
      <c r="AD11">
        <v>47</v>
      </c>
      <c r="AE11">
        <v>0</v>
      </c>
      <c r="AF11">
        <v>43069</v>
      </c>
      <c r="AG11">
        <v>3241</v>
      </c>
      <c r="AH11">
        <v>61960</v>
      </c>
      <c r="AJ11">
        <v>0</v>
      </c>
      <c r="AL11">
        <v>64287</v>
      </c>
      <c r="AM11">
        <v>0</v>
      </c>
      <c r="AN11">
        <v>63456</v>
      </c>
      <c r="AO11">
        <v>88495</v>
      </c>
      <c r="AP11">
        <v>47284</v>
      </c>
      <c r="AQ11">
        <v>25144</v>
      </c>
      <c r="AR11">
        <v>37559</v>
      </c>
      <c r="AS11">
        <v>3820</v>
      </c>
      <c r="AT11">
        <v>23706</v>
      </c>
      <c r="AV11">
        <v>8</v>
      </c>
      <c r="AW11">
        <v>1</v>
      </c>
      <c r="AX11">
        <v>22542</v>
      </c>
      <c r="AY11">
        <v>1</v>
      </c>
      <c r="AZ11">
        <v>0</v>
      </c>
      <c r="BA11">
        <v>101183</v>
      </c>
      <c r="BB11">
        <v>0</v>
      </c>
      <c r="BC11">
        <v>0</v>
      </c>
      <c r="BD11">
        <v>51876</v>
      </c>
      <c r="BE11">
        <v>26135</v>
      </c>
      <c r="BF11">
        <v>72402</v>
      </c>
      <c r="BG11">
        <v>5124</v>
      </c>
      <c r="BH11">
        <v>0</v>
      </c>
      <c r="BI11">
        <v>0</v>
      </c>
      <c r="BJ11">
        <v>28</v>
      </c>
    </row>
    <row r="12" spans="1:62" x14ac:dyDescent="0.2">
      <c r="A12" s="25" t="s">
        <v>50</v>
      </c>
      <c r="C12">
        <v>8</v>
      </c>
      <c r="E12">
        <v>17</v>
      </c>
      <c r="F12">
        <v>7</v>
      </c>
      <c r="H12">
        <v>9</v>
      </c>
      <c r="I12">
        <v>22</v>
      </c>
      <c r="K12">
        <v>50</v>
      </c>
      <c r="L12">
        <v>15</v>
      </c>
      <c r="M12">
        <v>0</v>
      </c>
      <c r="N12">
        <v>0</v>
      </c>
      <c r="O12">
        <v>35</v>
      </c>
      <c r="P12">
        <v>16</v>
      </c>
      <c r="Q12">
        <v>174</v>
      </c>
      <c r="R12">
        <v>25</v>
      </c>
      <c r="S12">
        <v>620</v>
      </c>
      <c r="U12">
        <v>8</v>
      </c>
      <c r="V12">
        <v>12</v>
      </c>
      <c r="W12">
        <v>3</v>
      </c>
      <c r="X12">
        <v>0</v>
      </c>
      <c r="Y12">
        <v>46</v>
      </c>
      <c r="Z12">
        <v>0</v>
      </c>
      <c r="AA12">
        <v>4482</v>
      </c>
      <c r="AB12">
        <v>478</v>
      </c>
      <c r="AC12">
        <v>0</v>
      </c>
      <c r="AD12">
        <v>0</v>
      </c>
      <c r="AE12">
        <v>0</v>
      </c>
      <c r="AF12">
        <v>49525</v>
      </c>
      <c r="AG12">
        <v>5251</v>
      </c>
      <c r="AH12">
        <v>76031</v>
      </c>
      <c r="AJ12">
        <v>23078</v>
      </c>
      <c r="AL12">
        <v>11763</v>
      </c>
      <c r="AM12">
        <v>0</v>
      </c>
      <c r="AN12">
        <v>57502</v>
      </c>
      <c r="AO12">
        <v>21889</v>
      </c>
      <c r="AP12">
        <v>117337</v>
      </c>
      <c r="AQ12">
        <v>59790</v>
      </c>
      <c r="AR12">
        <v>51942</v>
      </c>
      <c r="AS12">
        <v>4515</v>
      </c>
      <c r="AT12">
        <v>69442</v>
      </c>
      <c r="AV12">
        <v>14</v>
      </c>
      <c r="AW12">
        <v>4</v>
      </c>
      <c r="AX12">
        <v>25812</v>
      </c>
      <c r="AY12">
        <v>86</v>
      </c>
      <c r="AZ12">
        <v>0</v>
      </c>
      <c r="BA12">
        <v>104556</v>
      </c>
      <c r="BB12">
        <v>21</v>
      </c>
      <c r="BC12">
        <v>0</v>
      </c>
      <c r="BD12">
        <v>50452</v>
      </c>
      <c r="BE12">
        <v>30025</v>
      </c>
      <c r="BF12">
        <v>88565</v>
      </c>
      <c r="BG12">
        <v>7298</v>
      </c>
      <c r="BH12">
        <v>15</v>
      </c>
      <c r="BI12">
        <v>0</v>
      </c>
      <c r="BJ12">
        <v>219</v>
      </c>
    </row>
    <row r="13" spans="1:62" x14ac:dyDescent="0.2">
      <c r="A13" s="25" t="s">
        <v>51</v>
      </c>
      <c r="C13">
        <v>9</v>
      </c>
      <c r="E13">
        <v>17</v>
      </c>
      <c r="F13">
        <v>61</v>
      </c>
      <c r="H13">
        <v>9</v>
      </c>
      <c r="I13">
        <v>446</v>
      </c>
      <c r="K13">
        <v>112</v>
      </c>
      <c r="L13">
        <v>18</v>
      </c>
      <c r="M13">
        <v>6</v>
      </c>
      <c r="N13">
        <v>0</v>
      </c>
      <c r="O13">
        <v>116</v>
      </c>
      <c r="P13">
        <v>36</v>
      </c>
      <c r="Q13">
        <v>174</v>
      </c>
      <c r="R13">
        <v>16</v>
      </c>
      <c r="S13">
        <v>283</v>
      </c>
      <c r="U13">
        <v>10</v>
      </c>
      <c r="V13">
        <v>82</v>
      </c>
      <c r="W13">
        <v>4</v>
      </c>
      <c r="X13">
        <v>0</v>
      </c>
      <c r="Y13">
        <v>563</v>
      </c>
      <c r="Z13">
        <v>238</v>
      </c>
      <c r="AA13">
        <v>5780</v>
      </c>
      <c r="AB13">
        <v>1649</v>
      </c>
      <c r="AC13">
        <v>0</v>
      </c>
      <c r="AD13">
        <v>0</v>
      </c>
      <c r="AE13">
        <v>0</v>
      </c>
      <c r="AF13">
        <v>0</v>
      </c>
      <c r="AG13">
        <v>1240</v>
      </c>
      <c r="AH13">
        <v>11701</v>
      </c>
      <c r="AJ13">
        <v>3750</v>
      </c>
      <c r="AL13">
        <v>7440</v>
      </c>
      <c r="AM13">
        <v>25755</v>
      </c>
      <c r="AN13">
        <v>8560</v>
      </c>
      <c r="AO13">
        <v>8566</v>
      </c>
      <c r="AP13">
        <v>25104</v>
      </c>
      <c r="AQ13">
        <v>12344</v>
      </c>
      <c r="AR13">
        <v>14005</v>
      </c>
      <c r="AS13">
        <v>28</v>
      </c>
      <c r="AT13">
        <v>12741</v>
      </c>
      <c r="AV13">
        <v>3</v>
      </c>
      <c r="AW13">
        <v>78</v>
      </c>
      <c r="AX13">
        <v>3047</v>
      </c>
      <c r="AY13">
        <v>163</v>
      </c>
      <c r="AZ13">
        <v>0</v>
      </c>
      <c r="BA13">
        <v>20783</v>
      </c>
      <c r="BB13">
        <v>53</v>
      </c>
      <c r="BC13">
        <v>0</v>
      </c>
      <c r="BD13">
        <v>44835</v>
      </c>
      <c r="BE13">
        <v>32101</v>
      </c>
      <c r="BF13">
        <v>56839</v>
      </c>
      <c r="BG13">
        <v>2197</v>
      </c>
      <c r="BH13">
        <v>15</v>
      </c>
      <c r="BI13">
        <v>0</v>
      </c>
      <c r="BJ13">
        <v>27</v>
      </c>
    </row>
    <row r="14" spans="1:62" x14ac:dyDescent="0.2">
      <c r="A14" s="25" t="s">
        <v>52</v>
      </c>
      <c r="C14">
        <v>10</v>
      </c>
      <c r="E14">
        <v>13</v>
      </c>
      <c r="F14">
        <v>489</v>
      </c>
      <c r="H14">
        <v>10</v>
      </c>
      <c r="I14">
        <v>0</v>
      </c>
      <c r="K14">
        <v>228</v>
      </c>
      <c r="L14">
        <v>16</v>
      </c>
      <c r="M14">
        <v>45</v>
      </c>
      <c r="N14">
        <v>0</v>
      </c>
      <c r="O14">
        <v>288</v>
      </c>
      <c r="P14">
        <v>0</v>
      </c>
      <c r="Q14">
        <v>524</v>
      </c>
      <c r="R14">
        <v>180</v>
      </c>
      <c r="S14">
        <v>937</v>
      </c>
      <c r="U14">
        <v>11</v>
      </c>
      <c r="V14">
        <v>164</v>
      </c>
      <c r="W14">
        <v>4</v>
      </c>
      <c r="X14">
        <v>0</v>
      </c>
      <c r="Y14">
        <v>2134</v>
      </c>
      <c r="Z14">
        <v>548</v>
      </c>
      <c r="AA14">
        <v>7518</v>
      </c>
      <c r="AB14">
        <v>2125</v>
      </c>
      <c r="AC14">
        <v>0</v>
      </c>
      <c r="AD14">
        <v>0</v>
      </c>
      <c r="AE14">
        <v>0</v>
      </c>
      <c r="AF14">
        <v>24</v>
      </c>
      <c r="AG14">
        <v>0</v>
      </c>
      <c r="AJ14">
        <v>0</v>
      </c>
      <c r="AL14">
        <v>187</v>
      </c>
      <c r="AM14">
        <v>1964</v>
      </c>
      <c r="AN14">
        <v>1480</v>
      </c>
      <c r="AO14">
        <v>0</v>
      </c>
      <c r="AP14">
        <v>0</v>
      </c>
      <c r="AQ14">
        <v>0</v>
      </c>
      <c r="AR14">
        <v>2813</v>
      </c>
      <c r="AS14">
        <v>58</v>
      </c>
      <c r="AT14">
        <v>0</v>
      </c>
      <c r="AV14">
        <v>2</v>
      </c>
      <c r="AW14">
        <v>0</v>
      </c>
      <c r="AX14">
        <v>0</v>
      </c>
      <c r="AY14">
        <v>420</v>
      </c>
      <c r="AZ14">
        <v>0</v>
      </c>
      <c r="BA14">
        <v>0</v>
      </c>
      <c r="BB14">
        <v>121</v>
      </c>
      <c r="BC14">
        <v>0</v>
      </c>
      <c r="BD14">
        <v>45818</v>
      </c>
      <c r="BE14">
        <v>31910</v>
      </c>
      <c r="BF14">
        <v>58536</v>
      </c>
      <c r="BG14">
        <v>0</v>
      </c>
      <c r="BH14">
        <v>825</v>
      </c>
      <c r="BI14">
        <v>0</v>
      </c>
      <c r="BJ14">
        <v>220</v>
      </c>
    </row>
    <row r="15" spans="1:62" ht="13.5" thickBot="1" x14ac:dyDescent="0.25">
      <c r="A15" s="92" t="s">
        <v>58</v>
      </c>
      <c r="B15" s="93">
        <f>SUM(B3:B14)/10</f>
        <v>0</v>
      </c>
      <c r="C15" s="93">
        <f>SUM(B20:B31)/10</f>
        <v>0</v>
      </c>
      <c r="D15" s="93"/>
      <c r="E15" s="94">
        <f>SUM(E3:E14)/10</f>
        <v>8.9</v>
      </c>
      <c r="F15" s="94">
        <v>0</v>
      </c>
      <c r="G15" s="95">
        <f>SUM(G3:G14)/10</f>
        <v>0</v>
      </c>
      <c r="H15" s="94">
        <f>SUM(H3:H14)/10</f>
        <v>82.3</v>
      </c>
      <c r="I15" s="94">
        <v>0</v>
      </c>
      <c r="J15" s="94"/>
      <c r="K15" s="94">
        <f t="shared" ref="K15:S15" si="0">SUM(K3:K14)/10</f>
        <v>75.900000000000006</v>
      </c>
      <c r="L15" s="94">
        <f t="shared" si="0"/>
        <v>12</v>
      </c>
      <c r="M15" s="94">
        <f t="shared" si="0"/>
        <v>18</v>
      </c>
      <c r="N15" s="94">
        <f t="shared" si="0"/>
        <v>0.2</v>
      </c>
      <c r="O15" s="94">
        <f t="shared" si="0"/>
        <v>88.8</v>
      </c>
      <c r="P15" s="94">
        <f t="shared" si="0"/>
        <v>48.4</v>
      </c>
      <c r="Q15" s="94">
        <f t="shared" si="0"/>
        <v>203.4</v>
      </c>
      <c r="R15" s="94">
        <f t="shared" si="0"/>
        <v>44.3</v>
      </c>
      <c r="S15" s="94">
        <f t="shared" si="0"/>
        <v>375.3</v>
      </c>
      <c r="T15" s="94"/>
      <c r="U15" s="94">
        <f t="shared" ref="U15:AE15" si="1">SUM(U3:U14)/10</f>
        <v>12.6</v>
      </c>
      <c r="V15" s="94">
        <f t="shared" si="1"/>
        <v>116.5</v>
      </c>
      <c r="W15" s="94">
        <f t="shared" si="1"/>
        <v>4.4000000000000004</v>
      </c>
      <c r="X15" s="94">
        <f t="shared" si="1"/>
        <v>0</v>
      </c>
      <c r="Y15" s="94">
        <f t="shared" si="1"/>
        <v>689.6</v>
      </c>
      <c r="Z15" s="94">
        <f t="shared" si="1"/>
        <v>150.30000000000001</v>
      </c>
      <c r="AA15" s="94">
        <f t="shared" si="1"/>
        <v>3172.4</v>
      </c>
      <c r="AB15" s="94">
        <f t="shared" si="1"/>
        <v>835</v>
      </c>
      <c r="AC15" s="94">
        <f t="shared" si="1"/>
        <v>0</v>
      </c>
      <c r="AD15" s="94">
        <f t="shared" si="1"/>
        <v>4.7</v>
      </c>
      <c r="AE15" s="94">
        <f t="shared" si="1"/>
        <v>18.3</v>
      </c>
      <c r="AF15" s="94">
        <f>SUM(AF3:AF14)/10</f>
        <v>9261.9</v>
      </c>
      <c r="AG15" s="94">
        <f>SUM(AG3:AG14)/10</f>
        <v>974.1</v>
      </c>
      <c r="AH15" s="94">
        <f>SUM(AH3:AH14)/10</f>
        <v>15221.9</v>
      </c>
      <c r="AI15" s="94">
        <f>SUM(AI3:AI14)/10</f>
        <v>0</v>
      </c>
      <c r="AJ15" s="94">
        <f>SUM(AJ3:AJ14)/10</f>
        <v>2715.3</v>
      </c>
      <c r="AK15" s="94"/>
      <c r="AL15" s="94">
        <f t="shared" ref="AL15:BB15" si="2">SUM(AL3:AL14)/10</f>
        <v>8794.1</v>
      </c>
      <c r="AM15" s="94">
        <f t="shared" si="2"/>
        <v>3942.9</v>
      </c>
      <c r="AN15" s="94">
        <f t="shared" si="2"/>
        <v>13661.5</v>
      </c>
      <c r="AO15" s="94">
        <f t="shared" si="2"/>
        <v>11901.8</v>
      </c>
      <c r="AP15" s="94">
        <f t="shared" si="2"/>
        <v>19620.400000000001</v>
      </c>
      <c r="AQ15" s="94">
        <f t="shared" si="2"/>
        <v>10112.5</v>
      </c>
      <c r="AR15" s="94">
        <f t="shared" si="2"/>
        <v>10631.9</v>
      </c>
      <c r="AS15" s="96">
        <f t="shared" si="2"/>
        <v>853.9</v>
      </c>
      <c r="AT15" s="94">
        <f t="shared" si="2"/>
        <v>10589.7</v>
      </c>
      <c r="AU15" s="94">
        <f t="shared" si="2"/>
        <v>0</v>
      </c>
      <c r="AV15" s="94">
        <f t="shared" si="2"/>
        <v>4.0999999999999996</v>
      </c>
      <c r="AW15" s="94">
        <f t="shared" si="2"/>
        <v>57.3</v>
      </c>
      <c r="AX15" s="94">
        <f t="shared" si="2"/>
        <v>5140.3</v>
      </c>
      <c r="AY15" s="94">
        <f t="shared" si="2"/>
        <v>168.6</v>
      </c>
      <c r="AZ15" s="94">
        <f t="shared" si="2"/>
        <v>0</v>
      </c>
      <c r="BA15" s="94">
        <f t="shared" si="2"/>
        <v>22652.2</v>
      </c>
      <c r="BB15" s="94">
        <f t="shared" si="2"/>
        <v>57.1</v>
      </c>
      <c r="BC15" s="94">
        <f>SUM(BC3:BC14)/10</f>
        <v>0</v>
      </c>
      <c r="BD15" s="97">
        <f t="shared" ref="BD15:BF16" si="3">SUM(B15:BC15)</f>
        <v>152322.80000000002</v>
      </c>
      <c r="BE15" s="97">
        <f t="shared" si="3"/>
        <v>304645.60000000003</v>
      </c>
      <c r="BF15" s="97">
        <f t="shared" si="3"/>
        <v>609291.20000000007</v>
      </c>
      <c r="BG15" s="97"/>
      <c r="BH15" s="97"/>
      <c r="BI15" s="97"/>
      <c r="BJ15" s="97"/>
    </row>
    <row r="16" spans="1:62" ht="13.5" thickTop="1" x14ac:dyDescent="0.2">
      <c r="A16" s="92"/>
      <c r="B16" s="134">
        <f>SUM(B3:B14)</f>
        <v>0</v>
      </c>
      <c r="C16" s="134">
        <f t="shared" ref="C16:AE16" si="4">SUM(C3:C14)</f>
        <v>420</v>
      </c>
      <c r="D16" s="134">
        <f t="shared" si="4"/>
        <v>0</v>
      </c>
      <c r="E16" s="134">
        <f>SUM(E3:E14)</f>
        <v>89</v>
      </c>
      <c r="F16" s="134">
        <f t="shared" si="4"/>
        <v>1435</v>
      </c>
      <c r="G16" s="134">
        <f t="shared" si="4"/>
        <v>0</v>
      </c>
      <c r="H16" s="134">
        <f t="shared" si="4"/>
        <v>823</v>
      </c>
      <c r="I16" s="134">
        <f t="shared" si="4"/>
        <v>4146</v>
      </c>
      <c r="J16" s="134">
        <f t="shared" si="4"/>
        <v>0</v>
      </c>
      <c r="K16" s="134">
        <f t="shared" si="4"/>
        <v>759</v>
      </c>
      <c r="L16" s="134">
        <f t="shared" si="4"/>
        <v>120</v>
      </c>
      <c r="M16" s="134">
        <f t="shared" si="4"/>
        <v>180</v>
      </c>
      <c r="N16" s="134">
        <f t="shared" si="4"/>
        <v>2</v>
      </c>
      <c r="O16" s="134">
        <f t="shared" si="4"/>
        <v>888</v>
      </c>
      <c r="P16" s="134">
        <f t="shared" si="4"/>
        <v>484</v>
      </c>
      <c r="Q16" s="134">
        <f t="shared" si="4"/>
        <v>2034</v>
      </c>
      <c r="R16" s="134">
        <f t="shared" si="4"/>
        <v>443</v>
      </c>
      <c r="S16" s="134">
        <f t="shared" si="4"/>
        <v>3753</v>
      </c>
      <c r="T16" s="134">
        <f t="shared" si="4"/>
        <v>0</v>
      </c>
      <c r="U16" s="134">
        <f t="shared" si="4"/>
        <v>126</v>
      </c>
      <c r="V16" s="134">
        <f t="shared" si="4"/>
        <v>1165</v>
      </c>
      <c r="W16" s="134">
        <f t="shared" si="4"/>
        <v>44</v>
      </c>
      <c r="X16" s="134">
        <f t="shared" si="4"/>
        <v>0</v>
      </c>
      <c r="Y16" s="134">
        <f t="shared" si="4"/>
        <v>6896</v>
      </c>
      <c r="Z16" s="134">
        <f t="shared" si="4"/>
        <v>1503</v>
      </c>
      <c r="AA16" s="134">
        <f t="shared" si="4"/>
        <v>31724</v>
      </c>
      <c r="AB16" s="134">
        <f t="shared" si="4"/>
        <v>8350</v>
      </c>
      <c r="AC16" s="134">
        <f t="shared" si="4"/>
        <v>0</v>
      </c>
      <c r="AD16" s="134">
        <f t="shared" si="4"/>
        <v>47</v>
      </c>
      <c r="AE16" s="134">
        <f t="shared" si="4"/>
        <v>183</v>
      </c>
      <c r="AF16" s="135">
        <f>SUM(AF3:AF14)</f>
        <v>92619</v>
      </c>
      <c r="AG16" s="135">
        <f>SUM(AG3:AG14)</f>
        <v>9741</v>
      </c>
      <c r="AH16" s="135">
        <f t="shared" ref="AH16:BC16" si="5">SUM(AH3:AH14)</f>
        <v>152219</v>
      </c>
      <c r="AI16" s="135">
        <f t="shared" si="5"/>
        <v>0</v>
      </c>
      <c r="AJ16" s="135">
        <f t="shared" si="5"/>
        <v>27153</v>
      </c>
      <c r="AK16" s="135">
        <f t="shared" si="5"/>
        <v>0</v>
      </c>
      <c r="AL16" s="135">
        <f t="shared" si="5"/>
        <v>87941</v>
      </c>
      <c r="AM16" s="135">
        <f t="shared" si="5"/>
        <v>39429</v>
      </c>
      <c r="AN16" s="135">
        <f t="shared" si="5"/>
        <v>136615</v>
      </c>
      <c r="AO16" s="135">
        <f t="shared" si="5"/>
        <v>119018</v>
      </c>
      <c r="AP16" s="135">
        <f t="shared" si="5"/>
        <v>196204</v>
      </c>
      <c r="AQ16" s="135">
        <f t="shared" si="5"/>
        <v>101125</v>
      </c>
      <c r="AR16" s="135">
        <f t="shared" si="5"/>
        <v>106319</v>
      </c>
      <c r="AS16" s="135">
        <f t="shared" si="5"/>
        <v>8539</v>
      </c>
      <c r="AT16" s="135">
        <f t="shared" si="5"/>
        <v>105897</v>
      </c>
      <c r="AU16" s="135">
        <f t="shared" si="5"/>
        <v>0</v>
      </c>
      <c r="AV16" s="135">
        <f t="shared" si="5"/>
        <v>41</v>
      </c>
      <c r="AW16" s="135">
        <f t="shared" si="5"/>
        <v>573</v>
      </c>
      <c r="AX16" s="135">
        <f t="shared" si="5"/>
        <v>51403</v>
      </c>
      <c r="AY16" s="135">
        <f t="shared" si="5"/>
        <v>1686</v>
      </c>
      <c r="AZ16" s="135">
        <f t="shared" si="5"/>
        <v>0</v>
      </c>
      <c r="BA16" s="135">
        <f t="shared" si="5"/>
        <v>226522</v>
      </c>
      <c r="BB16" s="135">
        <f t="shared" si="5"/>
        <v>571</v>
      </c>
      <c r="BC16" s="135">
        <f t="shared" si="5"/>
        <v>0</v>
      </c>
      <c r="BD16" s="138">
        <f t="shared" si="3"/>
        <v>1529229</v>
      </c>
      <c r="BE16" s="138">
        <f t="shared" si="3"/>
        <v>3058458</v>
      </c>
      <c r="BF16" s="138">
        <f t="shared" si="3"/>
        <v>6116496</v>
      </c>
      <c r="BG16" s="138"/>
      <c r="BH16" s="138"/>
      <c r="BI16" s="138"/>
      <c r="BJ16" s="138"/>
    </row>
    <row r="20" spans="1:62" x14ac:dyDescent="0.2">
      <c r="A20" s="26">
        <v>2020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  <c r="BJ20" s="31" t="s">
        <v>53</v>
      </c>
    </row>
    <row r="21" spans="1:62" x14ac:dyDescent="0.2">
      <c r="A21" s="106" t="s">
        <v>59</v>
      </c>
      <c r="C21">
        <v>70.040000000000006</v>
      </c>
      <c r="E21">
        <v>16.46</v>
      </c>
      <c r="F21">
        <v>279.52</v>
      </c>
      <c r="H21">
        <v>211.86</v>
      </c>
      <c r="I21">
        <v>967.57</v>
      </c>
      <c r="K21">
        <v>123.47</v>
      </c>
      <c r="L21">
        <v>23.6</v>
      </c>
      <c r="M21">
        <v>55.89</v>
      </c>
      <c r="N21">
        <v>17.13</v>
      </c>
      <c r="O21">
        <v>170.24</v>
      </c>
      <c r="P21">
        <v>120</v>
      </c>
      <c r="Q21">
        <v>346.16</v>
      </c>
      <c r="R21">
        <v>87.42</v>
      </c>
      <c r="S21">
        <v>420.56</v>
      </c>
      <c r="U21">
        <v>30.07</v>
      </c>
      <c r="V21">
        <v>271.52999999999997</v>
      </c>
      <c r="W21">
        <v>19.559999999999999</v>
      </c>
      <c r="X21">
        <v>17.16</v>
      </c>
      <c r="Y21">
        <v>1287.72</v>
      </c>
      <c r="Z21">
        <v>245.26</v>
      </c>
      <c r="AA21">
        <v>3053.69</v>
      </c>
      <c r="AB21">
        <v>945.82</v>
      </c>
      <c r="AC21">
        <v>0</v>
      </c>
      <c r="AD21">
        <v>0</v>
      </c>
      <c r="AE21">
        <v>-60.97</v>
      </c>
      <c r="AF21">
        <v>0</v>
      </c>
      <c r="AG21">
        <v>3.64</v>
      </c>
      <c r="AH21">
        <v>0</v>
      </c>
      <c r="AJ21">
        <v>227.36</v>
      </c>
      <c r="AL21">
        <v>-9620.5400000000009</v>
      </c>
      <c r="AM21">
        <v>4181.24</v>
      </c>
      <c r="AN21">
        <v>1357.2</v>
      </c>
      <c r="AO21">
        <v>47.46</v>
      </c>
      <c r="AP21">
        <v>3528.38</v>
      </c>
      <c r="AQ21">
        <v>2078.9899999999998</v>
      </c>
      <c r="AR21">
        <v>0</v>
      </c>
      <c r="AS21">
        <v>303.06</v>
      </c>
      <c r="AT21">
        <v>0</v>
      </c>
      <c r="AV21">
        <v>14.69</v>
      </c>
      <c r="AW21">
        <v>154.94999999999999</v>
      </c>
      <c r="AX21">
        <v>0</v>
      </c>
      <c r="AY21">
        <v>310.3</v>
      </c>
      <c r="AZ21">
        <v>12.54</v>
      </c>
      <c r="BA21">
        <v>0</v>
      </c>
      <c r="BB21">
        <v>95.42</v>
      </c>
      <c r="BC21">
        <v>17.690000000000001</v>
      </c>
      <c r="BD21">
        <v>7106.67</v>
      </c>
      <c r="BE21">
        <v>6438.5</v>
      </c>
      <c r="BF21">
        <v>8792.44</v>
      </c>
      <c r="BG21">
        <v>0</v>
      </c>
      <c r="BH21">
        <v>1927.84</v>
      </c>
      <c r="BI21">
        <v>310.33999999999997</v>
      </c>
      <c r="BJ21">
        <v>704.87</v>
      </c>
    </row>
    <row r="22" spans="1:62" x14ac:dyDescent="0.2">
      <c r="A22" s="113" t="s">
        <v>42</v>
      </c>
      <c r="C22">
        <v>107.38</v>
      </c>
      <c r="E22">
        <v>16.46</v>
      </c>
      <c r="F22">
        <v>276.70999999999998</v>
      </c>
      <c r="H22">
        <v>185.71</v>
      </c>
      <c r="I22">
        <v>825.52</v>
      </c>
      <c r="K22">
        <v>120.78</v>
      </c>
      <c r="L22">
        <v>24.25</v>
      </c>
      <c r="M22">
        <v>61.06</v>
      </c>
      <c r="N22">
        <v>17.13</v>
      </c>
      <c r="O22">
        <v>139.61000000000001</v>
      </c>
      <c r="P22">
        <v>113.47</v>
      </c>
      <c r="Q22">
        <v>373.97</v>
      </c>
      <c r="R22">
        <v>72.290000000000006</v>
      </c>
      <c r="S22">
        <v>411.42</v>
      </c>
      <c r="U22">
        <v>29.99</v>
      </c>
      <c r="V22">
        <v>258.32</v>
      </c>
      <c r="W22">
        <v>20.170000000000002</v>
      </c>
      <c r="X22">
        <v>17.16</v>
      </c>
      <c r="Y22">
        <v>1065.52</v>
      </c>
      <c r="Z22">
        <v>220.04</v>
      </c>
      <c r="AA22">
        <v>2897.39</v>
      </c>
      <c r="AB22">
        <v>878.38</v>
      </c>
      <c r="AC22">
        <v>0</v>
      </c>
      <c r="AD22">
        <v>0</v>
      </c>
      <c r="AE22">
        <v>-38.659999999999997</v>
      </c>
      <c r="AF22">
        <v>0</v>
      </c>
      <c r="AG22">
        <v>0</v>
      </c>
      <c r="AH22">
        <v>1638.39</v>
      </c>
      <c r="AJ22">
        <v>16.46</v>
      </c>
      <c r="AL22">
        <v>14.54</v>
      </c>
      <c r="AM22">
        <v>2422.0500000000002</v>
      </c>
      <c r="AN22">
        <v>423.38</v>
      </c>
      <c r="AO22">
        <v>0</v>
      </c>
      <c r="AP22">
        <v>217</v>
      </c>
      <c r="AQ22">
        <v>147.24</v>
      </c>
      <c r="AR22">
        <v>0</v>
      </c>
      <c r="AS22">
        <v>332.84</v>
      </c>
      <c r="AT22">
        <v>0</v>
      </c>
      <c r="AV22">
        <v>14.69</v>
      </c>
      <c r="AW22">
        <v>153.24</v>
      </c>
      <c r="AX22">
        <v>0</v>
      </c>
      <c r="AY22">
        <v>320.98</v>
      </c>
      <c r="AZ22">
        <v>12.54</v>
      </c>
      <c r="BA22">
        <v>0</v>
      </c>
      <c r="BB22">
        <v>96.75</v>
      </c>
      <c r="BC22">
        <v>17.690000000000001</v>
      </c>
      <c r="BD22">
        <v>7106.67</v>
      </c>
      <c r="BE22">
        <v>6309.9</v>
      </c>
      <c r="BF22">
        <v>8792.44</v>
      </c>
      <c r="BG22">
        <v>0</v>
      </c>
      <c r="BH22">
        <v>1879.36</v>
      </c>
      <c r="BI22">
        <v>273.24</v>
      </c>
      <c r="BJ22">
        <v>666.05</v>
      </c>
    </row>
    <row r="23" spans="1:62" x14ac:dyDescent="0.2">
      <c r="A23" s="113" t="s">
        <v>43</v>
      </c>
      <c r="C23">
        <v>87.32</v>
      </c>
      <c r="E23">
        <v>16.46</v>
      </c>
      <c r="F23">
        <v>47.87</v>
      </c>
      <c r="H23">
        <v>140.93</v>
      </c>
      <c r="I23">
        <v>546.04999999999995</v>
      </c>
      <c r="K23">
        <v>70.040000000000006</v>
      </c>
      <c r="L23">
        <v>22.79</v>
      </c>
      <c r="M23">
        <v>34.65</v>
      </c>
      <c r="N23">
        <v>17.13</v>
      </c>
      <c r="O23">
        <v>41.49</v>
      </c>
      <c r="P23">
        <v>113.3</v>
      </c>
      <c r="Q23">
        <v>127.24</v>
      </c>
      <c r="R23">
        <v>18.75</v>
      </c>
      <c r="S23">
        <v>142.66</v>
      </c>
      <c r="U23">
        <v>24.98</v>
      </c>
      <c r="V23">
        <v>83.55</v>
      </c>
      <c r="W23">
        <v>19.559999999999999</v>
      </c>
      <c r="X23">
        <v>17.16</v>
      </c>
      <c r="Y23">
        <v>485.96</v>
      </c>
      <c r="Z23">
        <v>86.57</v>
      </c>
      <c r="AA23">
        <v>1655.41</v>
      </c>
      <c r="AB23">
        <v>548.84</v>
      </c>
      <c r="AC23">
        <v>0</v>
      </c>
      <c r="AD23">
        <v>0</v>
      </c>
      <c r="AE23">
        <v>-19.239999999999998</v>
      </c>
      <c r="AF23">
        <v>0</v>
      </c>
      <c r="AG23">
        <v>0</v>
      </c>
      <c r="AH23">
        <v>0</v>
      </c>
      <c r="AJ23">
        <v>16.46</v>
      </c>
      <c r="AL23">
        <v>0</v>
      </c>
      <c r="AM23">
        <v>689.46</v>
      </c>
      <c r="AN23">
        <v>144.61000000000001</v>
      </c>
      <c r="AO23">
        <v>2.31</v>
      </c>
      <c r="AP23">
        <v>151.41999999999999</v>
      </c>
      <c r="AQ23">
        <v>102.57</v>
      </c>
      <c r="AR23">
        <v>0</v>
      </c>
      <c r="AS23">
        <v>112.35</v>
      </c>
      <c r="AT23">
        <v>3.64</v>
      </c>
      <c r="AV23">
        <v>14.53</v>
      </c>
      <c r="AW23">
        <v>106.18</v>
      </c>
      <c r="AX23">
        <v>0</v>
      </c>
      <c r="AY23">
        <v>143.88</v>
      </c>
      <c r="AZ23">
        <v>12.54</v>
      </c>
      <c r="BA23">
        <v>0</v>
      </c>
      <c r="BB23">
        <v>68.680000000000007</v>
      </c>
      <c r="BC23">
        <v>17.690000000000001</v>
      </c>
      <c r="BD23">
        <v>7106.67</v>
      </c>
      <c r="BE23">
        <v>6309.9</v>
      </c>
      <c r="BF23">
        <v>8792.44</v>
      </c>
      <c r="BG23">
        <v>0</v>
      </c>
      <c r="BH23">
        <v>796.11</v>
      </c>
      <c r="BI23">
        <v>0</v>
      </c>
      <c r="BJ23">
        <v>138.1</v>
      </c>
    </row>
    <row r="24" spans="1:62" x14ac:dyDescent="0.2">
      <c r="A24" s="113" t="s">
        <v>44</v>
      </c>
      <c r="C24">
        <v>23.13</v>
      </c>
      <c r="E24">
        <v>16.46</v>
      </c>
      <c r="F24">
        <v>39.74</v>
      </c>
      <c r="H24">
        <v>22.79</v>
      </c>
      <c r="I24">
        <v>124.46</v>
      </c>
      <c r="K24">
        <v>40.880000000000003</v>
      </c>
      <c r="L24">
        <v>23.36</v>
      </c>
      <c r="M24">
        <v>17.16</v>
      </c>
      <c r="N24">
        <v>17.13</v>
      </c>
      <c r="O24">
        <v>23.08</v>
      </c>
      <c r="P24">
        <v>54.99</v>
      </c>
      <c r="Q24">
        <v>40.28</v>
      </c>
      <c r="R24">
        <v>20.92</v>
      </c>
      <c r="S24">
        <v>40.409999999999997</v>
      </c>
      <c r="U24">
        <v>24.04</v>
      </c>
      <c r="V24">
        <v>60.06</v>
      </c>
      <c r="W24">
        <v>18.079999999999998</v>
      </c>
      <c r="X24">
        <v>17.16</v>
      </c>
      <c r="Y24">
        <v>184.47</v>
      </c>
      <c r="Z24">
        <v>32.840000000000003</v>
      </c>
      <c r="AA24">
        <v>1039.29</v>
      </c>
      <c r="AB24">
        <v>187.19</v>
      </c>
      <c r="AC24">
        <v>0</v>
      </c>
      <c r="AD24">
        <v>0</v>
      </c>
      <c r="AE24">
        <v>-0.96</v>
      </c>
      <c r="AF24">
        <v>0</v>
      </c>
      <c r="AG24">
        <v>0</v>
      </c>
      <c r="AH24">
        <v>0</v>
      </c>
      <c r="AJ24">
        <v>16.46</v>
      </c>
      <c r="AL24">
        <v>0</v>
      </c>
      <c r="AM24">
        <v>142.33000000000001</v>
      </c>
      <c r="AN24">
        <v>77.34</v>
      </c>
      <c r="AO24">
        <v>0.91</v>
      </c>
      <c r="AP24">
        <v>48.39</v>
      </c>
      <c r="AQ24">
        <v>46.54</v>
      </c>
      <c r="AR24">
        <v>0</v>
      </c>
      <c r="AS24">
        <v>39.08</v>
      </c>
      <c r="AT24">
        <v>0</v>
      </c>
      <c r="AV24">
        <v>14.53</v>
      </c>
      <c r="AW24">
        <v>25.06</v>
      </c>
      <c r="AX24">
        <v>0</v>
      </c>
      <c r="AY24">
        <v>65.709999999999994</v>
      </c>
      <c r="AZ24">
        <v>12.54</v>
      </c>
      <c r="BA24">
        <v>0</v>
      </c>
      <c r="BB24">
        <v>30.73</v>
      </c>
      <c r="BC24">
        <v>17.690000000000001</v>
      </c>
      <c r="BD24">
        <v>7106.67</v>
      </c>
      <c r="BE24">
        <v>6309.9</v>
      </c>
      <c r="BF24">
        <v>8792.44</v>
      </c>
      <c r="BG24">
        <v>0</v>
      </c>
      <c r="BH24">
        <v>30.86</v>
      </c>
      <c r="BI24">
        <v>0</v>
      </c>
      <c r="BJ24">
        <v>85.81</v>
      </c>
    </row>
    <row r="25" spans="1:62" x14ac:dyDescent="0.2">
      <c r="A25" s="113" t="s">
        <v>45</v>
      </c>
      <c r="C25">
        <v>22.04</v>
      </c>
      <c r="E25">
        <v>21.32</v>
      </c>
      <c r="F25">
        <v>18.079999999999998</v>
      </c>
      <c r="H25">
        <v>22.79</v>
      </c>
      <c r="I25">
        <v>51.6</v>
      </c>
      <c r="K25">
        <v>19.420000000000002</v>
      </c>
      <c r="L25">
        <v>22.79</v>
      </c>
      <c r="M25">
        <v>17.16</v>
      </c>
      <c r="N25">
        <v>17.670000000000002</v>
      </c>
      <c r="O25">
        <v>17.13</v>
      </c>
      <c r="P25">
        <v>39.840000000000003</v>
      </c>
      <c r="Q25">
        <v>24.58</v>
      </c>
      <c r="R25">
        <v>19.3</v>
      </c>
      <c r="S25">
        <v>48.54</v>
      </c>
      <c r="U25">
        <v>22.11</v>
      </c>
      <c r="V25">
        <v>22.79</v>
      </c>
      <c r="W25">
        <v>18.63</v>
      </c>
      <c r="X25">
        <v>17.16</v>
      </c>
      <c r="Y25">
        <v>56.13</v>
      </c>
      <c r="Z25">
        <v>19.3</v>
      </c>
      <c r="AA25">
        <v>698.98</v>
      </c>
      <c r="AB25">
        <v>216.44</v>
      </c>
      <c r="AC25">
        <v>0</v>
      </c>
      <c r="AD25">
        <v>0</v>
      </c>
      <c r="AE25">
        <v>15.08</v>
      </c>
      <c r="AF25">
        <v>0</v>
      </c>
      <c r="AG25">
        <v>0</v>
      </c>
      <c r="AH25">
        <v>0</v>
      </c>
      <c r="AJ25">
        <v>16.46</v>
      </c>
      <c r="AL25">
        <v>0</v>
      </c>
      <c r="AM25">
        <v>51.6</v>
      </c>
      <c r="AN25">
        <v>221.95</v>
      </c>
      <c r="AO25">
        <v>0</v>
      </c>
      <c r="AP25">
        <v>14.29</v>
      </c>
      <c r="AQ25">
        <v>22.12</v>
      </c>
      <c r="AR25">
        <v>0</v>
      </c>
      <c r="AS25">
        <v>4.88</v>
      </c>
      <c r="AT25">
        <v>0</v>
      </c>
      <c r="AV25">
        <v>15.45</v>
      </c>
      <c r="AW25">
        <v>17.72</v>
      </c>
      <c r="AX25">
        <v>0</v>
      </c>
      <c r="AY25">
        <v>30.13</v>
      </c>
      <c r="AZ25">
        <v>12.54</v>
      </c>
      <c r="BA25">
        <v>0</v>
      </c>
      <c r="BB25">
        <v>25.86</v>
      </c>
      <c r="BC25">
        <v>17.690000000000001</v>
      </c>
      <c r="BD25">
        <v>7106.67</v>
      </c>
      <c r="BE25">
        <v>6309.9</v>
      </c>
      <c r="BF25">
        <v>8792.44</v>
      </c>
      <c r="BG25">
        <v>0</v>
      </c>
      <c r="BH25">
        <v>28.43</v>
      </c>
      <c r="BI25">
        <v>0</v>
      </c>
      <c r="BJ25">
        <v>43.33</v>
      </c>
    </row>
    <row r="26" spans="1:62" x14ac:dyDescent="0.2">
      <c r="A26" s="113" t="s">
        <v>46</v>
      </c>
      <c r="C26">
        <v>20.97</v>
      </c>
      <c r="E26">
        <v>22.41</v>
      </c>
      <c r="F26">
        <v>17</v>
      </c>
      <c r="H26">
        <v>22.23</v>
      </c>
      <c r="I26">
        <v>17.16</v>
      </c>
      <c r="K26">
        <v>17.16</v>
      </c>
      <c r="L26">
        <v>21.66</v>
      </c>
      <c r="M26">
        <v>17.16</v>
      </c>
      <c r="N26">
        <v>17.13</v>
      </c>
      <c r="O26">
        <v>17.13</v>
      </c>
      <c r="P26">
        <v>24.05</v>
      </c>
      <c r="Q26">
        <v>18.079999999999998</v>
      </c>
      <c r="R26">
        <v>18.75</v>
      </c>
      <c r="S26">
        <v>17.13</v>
      </c>
      <c r="U26">
        <v>22.11</v>
      </c>
      <c r="V26">
        <v>20.54</v>
      </c>
      <c r="W26">
        <v>18.079999999999998</v>
      </c>
      <c r="X26">
        <v>17.16</v>
      </c>
      <c r="Y26">
        <v>29.57</v>
      </c>
      <c r="Z26">
        <v>17.670000000000002</v>
      </c>
      <c r="AA26">
        <v>107.57</v>
      </c>
      <c r="AB26">
        <v>51.23</v>
      </c>
      <c r="AC26">
        <v>0</v>
      </c>
      <c r="AD26">
        <v>0</v>
      </c>
      <c r="AE26">
        <v>17.16</v>
      </c>
      <c r="AF26">
        <v>1.18</v>
      </c>
      <c r="AG26">
        <v>0</v>
      </c>
      <c r="AH26">
        <v>0</v>
      </c>
      <c r="AJ26">
        <v>16.46</v>
      </c>
      <c r="AL26">
        <v>0</v>
      </c>
      <c r="AM26">
        <v>28.45</v>
      </c>
      <c r="AN26">
        <v>258.94</v>
      </c>
      <c r="AO26">
        <v>0</v>
      </c>
      <c r="AP26">
        <v>0.46</v>
      </c>
      <c r="AQ26">
        <v>6.91</v>
      </c>
      <c r="AR26">
        <v>0</v>
      </c>
      <c r="AS26">
        <v>0</v>
      </c>
      <c r="AT26">
        <v>0</v>
      </c>
      <c r="AV26">
        <v>14.53</v>
      </c>
      <c r="AW26">
        <v>17.72</v>
      </c>
      <c r="AX26">
        <v>0</v>
      </c>
      <c r="AY26">
        <v>17.72</v>
      </c>
      <c r="AZ26">
        <v>12.54</v>
      </c>
      <c r="BA26">
        <v>0</v>
      </c>
      <c r="BB26">
        <v>17.18</v>
      </c>
      <c r="BC26">
        <v>17.690000000000001</v>
      </c>
      <c r="BD26">
        <v>7106.67</v>
      </c>
      <c r="BE26">
        <v>6309.9</v>
      </c>
      <c r="BF26">
        <v>8792.44</v>
      </c>
      <c r="BG26">
        <v>0</v>
      </c>
      <c r="BH26">
        <v>29.03</v>
      </c>
      <c r="BI26">
        <v>0</v>
      </c>
      <c r="BJ26">
        <v>33.159999999999997</v>
      </c>
    </row>
    <row r="27" spans="1:62" x14ac:dyDescent="0.2">
      <c r="A27" s="113" t="s">
        <v>47</v>
      </c>
      <c r="C27">
        <v>21.5</v>
      </c>
      <c r="E27">
        <v>21.86</v>
      </c>
      <c r="F27">
        <v>17.53</v>
      </c>
      <c r="H27">
        <v>23.36</v>
      </c>
      <c r="I27">
        <v>17.16</v>
      </c>
      <c r="K27">
        <v>17.72</v>
      </c>
      <c r="L27">
        <v>22.79</v>
      </c>
      <c r="M27">
        <v>17.16</v>
      </c>
      <c r="N27">
        <v>17.13</v>
      </c>
      <c r="O27">
        <v>17.670000000000002</v>
      </c>
      <c r="P27">
        <v>19.47</v>
      </c>
      <c r="Q27">
        <v>17</v>
      </c>
      <c r="R27">
        <v>19.3</v>
      </c>
      <c r="S27">
        <v>17.13</v>
      </c>
      <c r="U27">
        <v>22.11</v>
      </c>
      <c r="V27">
        <v>20.54</v>
      </c>
      <c r="W27">
        <v>17.53</v>
      </c>
      <c r="X27">
        <v>17.16</v>
      </c>
      <c r="Y27">
        <v>30.13</v>
      </c>
      <c r="Z27">
        <v>17.13</v>
      </c>
      <c r="AA27">
        <v>108.65</v>
      </c>
      <c r="AB27">
        <v>61.54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J27">
        <v>16.46</v>
      </c>
      <c r="AL27">
        <v>48.52</v>
      </c>
      <c r="AM27">
        <v>0</v>
      </c>
      <c r="AN27">
        <v>414.58</v>
      </c>
      <c r="AO27">
        <v>0</v>
      </c>
      <c r="AP27">
        <v>0</v>
      </c>
      <c r="AQ27">
        <v>1.85</v>
      </c>
      <c r="AR27">
        <v>0</v>
      </c>
      <c r="AS27">
        <v>-4.88</v>
      </c>
      <c r="AT27">
        <v>0</v>
      </c>
      <c r="AV27">
        <v>14.53</v>
      </c>
      <c r="AW27">
        <v>17.72</v>
      </c>
      <c r="AX27">
        <v>0.46</v>
      </c>
      <c r="AY27">
        <v>17.16</v>
      </c>
      <c r="AZ27">
        <v>12.54</v>
      </c>
      <c r="BA27">
        <v>0</v>
      </c>
      <c r="BB27">
        <v>17.18</v>
      </c>
      <c r="BC27">
        <v>17.690000000000001</v>
      </c>
      <c r="BD27">
        <v>7251.27</v>
      </c>
      <c r="BE27">
        <v>6309.83</v>
      </c>
      <c r="BF27">
        <v>8610.83</v>
      </c>
      <c r="BG27">
        <v>0</v>
      </c>
      <c r="BH27">
        <v>0</v>
      </c>
      <c r="BI27">
        <v>157.49</v>
      </c>
      <c r="BJ27">
        <v>34.35</v>
      </c>
    </row>
    <row r="28" spans="1:62" x14ac:dyDescent="0.2">
      <c r="A28" s="113" t="s">
        <v>48</v>
      </c>
      <c r="C28">
        <v>25.48</v>
      </c>
      <c r="E28">
        <v>24.03</v>
      </c>
      <c r="F28">
        <v>17</v>
      </c>
      <c r="H28">
        <v>26.76</v>
      </c>
      <c r="I28">
        <v>22.31</v>
      </c>
      <c r="K28">
        <v>22.32</v>
      </c>
      <c r="L28">
        <v>26.28</v>
      </c>
      <c r="M28">
        <v>20.6</v>
      </c>
      <c r="N28">
        <v>20.61</v>
      </c>
      <c r="O28">
        <v>21.15</v>
      </c>
      <c r="P28">
        <v>23.15</v>
      </c>
      <c r="Q28">
        <v>23.75</v>
      </c>
      <c r="R28">
        <v>23.32</v>
      </c>
      <c r="S28">
        <v>51.33</v>
      </c>
      <c r="U28">
        <v>22.11</v>
      </c>
      <c r="V28">
        <v>20.54</v>
      </c>
      <c r="W28">
        <v>17.53</v>
      </c>
      <c r="X28">
        <v>17.16</v>
      </c>
      <c r="Y28">
        <v>38.64</v>
      </c>
      <c r="Z28">
        <v>22.66</v>
      </c>
      <c r="AA28">
        <v>138.94</v>
      </c>
      <c r="AB28">
        <v>210.89</v>
      </c>
      <c r="AC28">
        <v>0</v>
      </c>
      <c r="AD28">
        <v>0</v>
      </c>
      <c r="AE28">
        <v>13.83</v>
      </c>
      <c r="AF28">
        <v>5.8</v>
      </c>
      <c r="AG28">
        <v>1.93</v>
      </c>
      <c r="AH28">
        <v>5.17</v>
      </c>
      <c r="AJ28">
        <v>16.46</v>
      </c>
      <c r="AL28">
        <v>1418.82</v>
      </c>
      <c r="AM28">
        <v>0</v>
      </c>
      <c r="AN28">
        <v>589.55999999999995</v>
      </c>
      <c r="AO28">
        <v>8.4</v>
      </c>
      <c r="AP28">
        <v>4.25</v>
      </c>
      <c r="AQ28">
        <v>16.28</v>
      </c>
      <c r="AR28">
        <v>3.96</v>
      </c>
      <c r="AS28">
        <v>8.32</v>
      </c>
      <c r="AT28">
        <v>1.44</v>
      </c>
      <c r="AV28">
        <v>18.45</v>
      </c>
      <c r="AW28">
        <v>19.420000000000002</v>
      </c>
      <c r="AX28">
        <v>0</v>
      </c>
      <c r="AY28">
        <v>23.87</v>
      </c>
      <c r="AZ28">
        <v>12.54</v>
      </c>
      <c r="BA28">
        <v>0</v>
      </c>
      <c r="BB28">
        <v>22.78</v>
      </c>
      <c r="BC28">
        <v>21.23</v>
      </c>
      <c r="BD28">
        <v>7106.67</v>
      </c>
      <c r="BE28">
        <v>6309.9</v>
      </c>
      <c r="BF28">
        <v>8792.44</v>
      </c>
      <c r="BG28">
        <v>4.34</v>
      </c>
      <c r="BH28">
        <v>0</v>
      </c>
      <c r="BI28">
        <v>0</v>
      </c>
      <c r="BJ28">
        <v>39.93</v>
      </c>
    </row>
    <row r="29" spans="1:62" x14ac:dyDescent="0.2">
      <c r="A29" s="113" t="s">
        <v>49</v>
      </c>
      <c r="C29">
        <v>24.05</v>
      </c>
      <c r="E29">
        <v>21.65</v>
      </c>
      <c r="F29">
        <v>17.37</v>
      </c>
      <c r="H29">
        <v>22.79</v>
      </c>
      <c r="I29">
        <v>17.16</v>
      </c>
      <c r="K29">
        <v>15.96</v>
      </c>
      <c r="L29">
        <v>22.02</v>
      </c>
      <c r="M29">
        <v>16.510000000000002</v>
      </c>
      <c r="N29">
        <v>16.510000000000002</v>
      </c>
      <c r="O29">
        <v>15.98</v>
      </c>
      <c r="P29">
        <v>30.59</v>
      </c>
      <c r="Q29">
        <v>21.65</v>
      </c>
      <c r="R29">
        <v>17.559999999999999</v>
      </c>
      <c r="S29">
        <v>307.55</v>
      </c>
      <c r="U29">
        <v>23.85</v>
      </c>
      <c r="V29">
        <v>25.88</v>
      </c>
      <c r="W29">
        <v>20.2</v>
      </c>
      <c r="X29">
        <v>20.6</v>
      </c>
      <c r="Y29">
        <v>28.66</v>
      </c>
      <c r="Z29">
        <v>16.510000000000002</v>
      </c>
      <c r="AA29">
        <v>340.52</v>
      </c>
      <c r="AB29">
        <v>354.25</v>
      </c>
      <c r="AC29">
        <v>0</v>
      </c>
      <c r="AD29">
        <v>20.84</v>
      </c>
      <c r="AE29">
        <v>15.96</v>
      </c>
      <c r="AF29">
        <v>12129.79</v>
      </c>
      <c r="AG29">
        <v>10103.32</v>
      </c>
      <c r="AH29">
        <v>16850.03</v>
      </c>
      <c r="AJ29">
        <v>2948.39</v>
      </c>
      <c r="AL29">
        <v>28594.61</v>
      </c>
      <c r="AM29">
        <v>0</v>
      </c>
      <c r="AN29">
        <v>18099.87</v>
      </c>
      <c r="AO29">
        <v>23480.6</v>
      </c>
      <c r="AP29">
        <v>13469.53</v>
      </c>
      <c r="AQ29">
        <v>11684.51</v>
      </c>
      <c r="AR29">
        <v>10752.24</v>
      </c>
      <c r="AS29">
        <v>11566.4</v>
      </c>
      <c r="AT29">
        <v>7798.5</v>
      </c>
      <c r="AV29">
        <v>19.02</v>
      </c>
      <c r="AW29">
        <v>17.72</v>
      </c>
      <c r="AX29">
        <v>6998.72</v>
      </c>
      <c r="AY29">
        <v>16.510000000000002</v>
      </c>
      <c r="AZ29">
        <v>11.74</v>
      </c>
      <c r="BA29">
        <v>28250.44</v>
      </c>
      <c r="BB29">
        <v>19.46</v>
      </c>
      <c r="BC29">
        <v>16.46</v>
      </c>
      <c r="BD29">
        <v>6735.11</v>
      </c>
      <c r="BE29">
        <v>5980.03</v>
      </c>
      <c r="BF29">
        <v>8333.52</v>
      </c>
      <c r="BG29">
        <v>14969.64</v>
      </c>
      <c r="BH29">
        <v>52.61</v>
      </c>
      <c r="BI29">
        <v>24.08</v>
      </c>
      <c r="BJ29">
        <v>33.25</v>
      </c>
    </row>
    <row r="30" spans="1:62" x14ac:dyDescent="0.2">
      <c r="A30" s="113" t="s">
        <v>50</v>
      </c>
      <c r="C30">
        <v>20.61</v>
      </c>
      <c r="E30">
        <v>25.05</v>
      </c>
      <c r="F30">
        <v>19.309999999999999</v>
      </c>
      <c r="H30">
        <v>20.91</v>
      </c>
      <c r="I30">
        <v>28.07</v>
      </c>
      <c r="K30">
        <v>45.8</v>
      </c>
      <c r="L30">
        <v>24.91</v>
      </c>
      <c r="M30">
        <v>15.96</v>
      </c>
      <c r="N30">
        <v>15.98</v>
      </c>
      <c r="O30">
        <v>36.01</v>
      </c>
      <c r="P30">
        <v>25.46</v>
      </c>
      <c r="Q30">
        <v>112.87</v>
      </c>
      <c r="R30">
        <v>30.3</v>
      </c>
      <c r="S30">
        <v>359.44</v>
      </c>
      <c r="U30">
        <v>19.13</v>
      </c>
      <c r="V30">
        <v>22.57</v>
      </c>
      <c r="W30">
        <v>16.89</v>
      </c>
      <c r="X30">
        <v>15.96</v>
      </c>
      <c r="Y30">
        <v>42.3</v>
      </c>
      <c r="Z30">
        <v>42.3</v>
      </c>
      <c r="AA30">
        <v>2358.89</v>
      </c>
      <c r="AB30">
        <v>281.14999999999998</v>
      </c>
      <c r="AC30">
        <v>15.31</v>
      </c>
      <c r="AD30">
        <v>15.31</v>
      </c>
      <c r="AE30">
        <v>15.96</v>
      </c>
      <c r="AF30">
        <v>23212.79</v>
      </c>
      <c r="AG30">
        <v>15103.55</v>
      </c>
      <c r="AH30">
        <v>35812.35</v>
      </c>
      <c r="AJ30">
        <v>10641.25</v>
      </c>
      <c r="AL30">
        <v>6312.82</v>
      </c>
      <c r="AM30">
        <v>86892.800000000003</v>
      </c>
      <c r="AN30">
        <v>28582.7</v>
      </c>
      <c r="AO30">
        <v>10665.03</v>
      </c>
      <c r="AP30">
        <v>49040.27</v>
      </c>
      <c r="AQ30">
        <v>25596.91</v>
      </c>
      <c r="AR30">
        <v>24899.13</v>
      </c>
      <c r="AS30">
        <v>23130.48</v>
      </c>
      <c r="AT30">
        <v>19514.77</v>
      </c>
      <c r="AV30">
        <v>25.26</v>
      </c>
      <c r="AW30">
        <v>18.170000000000002</v>
      </c>
      <c r="AX30">
        <v>7815.9</v>
      </c>
      <c r="AY30">
        <v>67.150000000000006</v>
      </c>
      <c r="AZ30">
        <v>11.74</v>
      </c>
      <c r="BA30">
        <v>51660.04</v>
      </c>
      <c r="BB30">
        <v>28.05</v>
      </c>
      <c r="BC30">
        <v>16.46</v>
      </c>
      <c r="BD30">
        <v>6735.11</v>
      </c>
      <c r="BE30">
        <v>5980.03</v>
      </c>
      <c r="BF30">
        <v>8333.82</v>
      </c>
      <c r="BG30">
        <v>20255.21</v>
      </c>
      <c r="BH30">
        <v>26.27</v>
      </c>
      <c r="BI30">
        <v>24.83</v>
      </c>
      <c r="BJ30">
        <v>152.13999999999999</v>
      </c>
    </row>
    <row r="31" spans="1:62" x14ac:dyDescent="0.2">
      <c r="A31" s="113" t="s">
        <v>51</v>
      </c>
      <c r="C31">
        <v>21.17</v>
      </c>
      <c r="E31">
        <v>25.05</v>
      </c>
      <c r="F31">
        <v>50.21</v>
      </c>
      <c r="H31">
        <v>21.32</v>
      </c>
      <c r="I31">
        <v>281.64</v>
      </c>
      <c r="K31">
        <v>83.01</v>
      </c>
      <c r="L31">
        <v>26.7</v>
      </c>
      <c r="M31">
        <v>19.559999999999999</v>
      </c>
      <c r="N31">
        <v>17.579999999999998</v>
      </c>
      <c r="O31">
        <v>85.92</v>
      </c>
      <c r="P31">
        <v>42.64</v>
      </c>
      <c r="Q31">
        <v>120.7</v>
      </c>
      <c r="R31">
        <v>28.14</v>
      </c>
      <c r="S31">
        <v>190</v>
      </c>
      <c r="U31">
        <v>21.65</v>
      </c>
      <c r="V31">
        <v>64.84</v>
      </c>
      <c r="W31">
        <v>17.600000000000001</v>
      </c>
      <c r="X31">
        <v>15.96</v>
      </c>
      <c r="Y31">
        <v>328.01</v>
      </c>
      <c r="Z31">
        <v>154.11000000000001</v>
      </c>
      <c r="AA31">
        <v>3255.83</v>
      </c>
      <c r="AB31">
        <v>980.19</v>
      </c>
      <c r="AC31">
        <v>15.31</v>
      </c>
      <c r="AD31">
        <v>15.31</v>
      </c>
      <c r="AE31">
        <v>15.96</v>
      </c>
      <c r="AF31">
        <v>16.03</v>
      </c>
      <c r="AG31">
        <v>7368.74</v>
      </c>
      <c r="AJ31">
        <v>2062.7399999999998</v>
      </c>
      <c r="AL31">
        <v>6135.74</v>
      </c>
      <c r="AM31">
        <v>13276.68</v>
      </c>
      <c r="AN31">
        <v>5505.86</v>
      </c>
      <c r="AO31">
        <v>4677.87</v>
      </c>
      <c r="AP31">
        <v>12547.53</v>
      </c>
      <c r="AQ31">
        <v>7109.09</v>
      </c>
      <c r="AR31">
        <v>8132.41</v>
      </c>
      <c r="AS31">
        <v>656.92</v>
      </c>
      <c r="AT31">
        <v>7253.69</v>
      </c>
      <c r="AV31">
        <v>17.32</v>
      </c>
      <c r="AW31">
        <v>62.48</v>
      </c>
      <c r="AX31">
        <v>1793.99</v>
      </c>
      <c r="AY31">
        <v>113.8</v>
      </c>
      <c r="AZ31">
        <v>12.91</v>
      </c>
      <c r="BA31">
        <v>12463.88</v>
      </c>
      <c r="BB31">
        <v>46.34</v>
      </c>
      <c r="BC31">
        <v>16.46</v>
      </c>
      <c r="BD31">
        <v>6735.11</v>
      </c>
      <c r="BE31">
        <v>5980.03</v>
      </c>
      <c r="BF31">
        <v>8333.82</v>
      </c>
      <c r="BG31">
        <v>11953.36</v>
      </c>
      <c r="BH31">
        <v>27.03</v>
      </c>
      <c r="BI31">
        <v>78.19</v>
      </c>
      <c r="BJ31">
        <v>39.42</v>
      </c>
    </row>
    <row r="32" spans="1:62" x14ac:dyDescent="0.2">
      <c r="A32" s="113" t="s">
        <v>52</v>
      </c>
      <c r="C32">
        <v>21.74</v>
      </c>
      <c r="E32">
        <v>25.24</v>
      </c>
      <c r="F32">
        <v>300.7</v>
      </c>
      <c r="H32">
        <v>169.63</v>
      </c>
      <c r="I32">
        <v>594.65</v>
      </c>
      <c r="K32">
        <v>156.18</v>
      </c>
      <c r="L32">
        <v>28.14</v>
      </c>
      <c r="M32">
        <v>44.7</v>
      </c>
      <c r="N32">
        <v>17.579999999999998</v>
      </c>
      <c r="O32">
        <v>185.89</v>
      </c>
      <c r="P32">
        <v>83.32</v>
      </c>
      <c r="Q32">
        <v>322.23</v>
      </c>
      <c r="R32">
        <v>121.95</v>
      </c>
      <c r="S32">
        <v>562.84</v>
      </c>
      <c r="U32">
        <v>24.82</v>
      </c>
      <c r="V32">
        <v>118.09</v>
      </c>
      <c r="W32">
        <v>18.18</v>
      </c>
      <c r="X32">
        <v>17.559999999999999</v>
      </c>
      <c r="Y32">
        <v>1233.94</v>
      </c>
      <c r="Z32">
        <v>337.53</v>
      </c>
      <c r="AA32">
        <v>4163.54</v>
      </c>
      <c r="AB32">
        <v>1237.8499999999999</v>
      </c>
      <c r="AC32">
        <v>16.84</v>
      </c>
      <c r="AD32">
        <v>16.84</v>
      </c>
      <c r="AE32">
        <v>17.559999999999999</v>
      </c>
      <c r="AF32">
        <v>29.72</v>
      </c>
      <c r="AG32">
        <v>1083.31</v>
      </c>
      <c r="AJ32">
        <v>3714.42</v>
      </c>
      <c r="AL32">
        <v>1238.5899999999999</v>
      </c>
      <c r="AM32">
        <v>2920.24</v>
      </c>
      <c r="AN32">
        <v>995.63</v>
      </c>
      <c r="AO32">
        <v>111.27</v>
      </c>
      <c r="AP32">
        <v>8852.35</v>
      </c>
      <c r="AQ32">
        <v>2799.3</v>
      </c>
      <c r="AR32">
        <v>1821.44</v>
      </c>
      <c r="AS32">
        <v>396.73</v>
      </c>
      <c r="AT32">
        <v>0</v>
      </c>
      <c r="AV32">
        <v>15.28</v>
      </c>
      <c r="AW32">
        <v>148.32</v>
      </c>
      <c r="AX32">
        <v>0</v>
      </c>
      <c r="AY32">
        <v>271.66000000000003</v>
      </c>
      <c r="AZ32">
        <v>12.91</v>
      </c>
      <c r="BA32">
        <v>0</v>
      </c>
      <c r="BB32">
        <v>85.15</v>
      </c>
      <c r="BC32">
        <v>18.11</v>
      </c>
      <c r="BD32">
        <v>6735.11</v>
      </c>
      <c r="BE32">
        <v>5980.03</v>
      </c>
      <c r="BF32">
        <v>8333.82</v>
      </c>
      <c r="BG32">
        <v>0</v>
      </c>
      <c r="BH32">
        <v>560.05999999999995</v>
      </c>
      <c r="BI32">
        <v>211.66</v>
      </c>
      <c r="BJ32">
        <v>159.26</v>
      </c>
    </row>
    <row r="33" spans="1:62" ht="13.5" thickBot="1" x14ac:dyDescent="0.25">
      <c r="A33" s="106" t="s">
        <v>58</v>
      </c>
      <c r="B33" s="116">
        <f>SUM(B21:B32)</f>
        <v>0</v>
      </c>
      <c r="C33" s="116">
        <f>SUM(C21:C32)</f>
        <v>465.43000000000006</v>
      </c>
      <c r="D33" s="116"/>
      <c r="E33" s="116">
        <f t="shared" ref="E33:BF33" si="6">SUM(E21:E32)</f>
        <v>252.45000000000005</v>
      </c>
      <c r="F33" s="116">
        <f t="shared" si="6"/>
        <v>1101.04</v>
      </c>
      <c r="G33" s="117">
        <f t="shared" si="6"/>
        <v>0</v>
      </c>
      <c r="H33" s="116">
        <f t="shared" si="6"/>
        <v>891.07999999999993</v>
      </c>
      <c r="I33" s="117">
        <f t="shared" si="6"/>
        <v>3493.35</v>
      </c>
      <c r="J33" s="118">
        <f t="shared" si="6"/>
        <v>0</v>
      </c>
      <c r="K33" s="117">
        <f t="shared" si="6"/>
        <v>732.74</v>
      </c>
      <c r="L33" s="117">
        <f t="shared" si="6"/>
        <v>289.28999999999996</v>
      </c>
      <c r="M33" s="117">
        <f t="shared" si="6"/>
        <v>337.56999999999994</v>
      </c>
      <c r="N33" s="117">
        <f t="shared" si="6"/>
        <v>208.70999999999998</v>
      </c>
      <c r="O33" s="119">
        <f t="shared" si="6"/>
        <v>771.3</v>
      </c>
      <c r="P33" s="117">
        <f t="shared" si="6"/>
        <v>690.28</v>
      </c>
      <c r="Q33" s="119">
        <f t="shared" si="6"/>
        <v>1548.5100000000002</v>
      </c>
      <c r="R33" s="119">
        <f t="shared" si="6"/>
        <v>478</v>
      </c>
      <c r="S33" s="119">
        <f t="shared" si="6"/>
        <v>2569.0100000000002</v>
      </c>
      <c r="T33" s="117">
        <f t="shared" si="6"/>
        <v>0</v>
      </c>
      <c r="U33" s="119">
        <f t="shared" si="6"/>
        <v>286.97000000000003</v>
      </c>
      <c r="V33" s="119">
        <f t="shared" si="6"/>
        <v>989.24999999999977</v>
      </c>
      <c r="W33" s="117">
        <f t="shared" si="6"/>
        <v>222.01000000000002</v>
      </c>
      <c r="X33" s="119">
        <f t="shared" si="6"/>
        <v>207.36</v>
      </c>
      <c r="Y33" s="119">
        <f t="shared" si="6"/>
        <v>4811.0499999999993</v>
      </c>
      <c r="Z33" s="119">
        <f t="shared" si="6"/>
        <v>1211.9199999999996</v>
      </c>
      <c r="AA33" s="119">
        <f t="shared" si="6"/>
        <v>19818.699999999997</v>
      </c>
      <c r="AB33" s="119">
        <f t="shared" si="6"/>
        <v>5953.77</v>
      </c>
      <c r="AC33" s="119">
        <f>SUM(AC21:AC32)</f>
        <v>47.46</v>
      </c>
      <c r="AD33" s="119">
        <f>SUM(AD21:AD32)</f>
        <v>68.3</v>
      </c>
      <c r="AE33" s="119"/>
      <c r="AF33" s="119">
        <f>SUM(AF21:AF32)</f>
        <v>35395.31</v>
      </c>
      <c r="AG33" s="119">
        <f>SUM(AG21:AG32)</f>
        <v>33664.49</v>
      </c>
      <c r="AH33" s="119">
        <f>SUM(AH21:AH32)</f>
        <v>54305.94</v>
      </c>
      <c r="AI33" s="119">
        <f>SUM(AI21:AI32)</f>
        <v>0</v>
      </c>
      <c r="AJ33" s="119">
        <f>SUM(AJ21:AJ32)</f>
        <v>19709.379999999997</v>
      </c>
      <c r="AK33" s="119">
        <f t="shared" si="6"/>
        <v>0</v>
      </c>
      <c r="AL33" s="119">
        <f t="shared" si="6"/>
        <v>34143.1</v>
      </c>
      <c r="AM33" s="117">
        <f t="shared" si="6"/>
        <v>110604.85000000002</v>
      </c>
      <c r="AN33" s="117">
        <f t="shared" si="6"/>
        <v>56671.62</v>
      </c>
      <c r="AO33" s="119">
        <f t="shared" si="6"/>
        <v>38993.85</v>
      </c>
      <c r="AP33" s="119">
        <f t="shared" si="6"/>
        <v>87873.87</v>
      </c>
      <c r="AQ33" s="119">
        <f t="shared" si="6"/>
        <v>49612.31</v>
      </c>
      <c r="AR33" s="119">
        <f t="shared" si="6"/>
        <v>45609.180000000008</v>
      </c>
      <c r="AS33" s="119">
        <f t="shared" si="6"/>
        <v>36546.18</v>
      </c>
      <c r="AT33" s="119">
        <f t="shared" si="6"/>
        <v>34572.04</v>
      </c>
      <c r="AU33" s="119">
        <f t="shared" si="6"/>
        <v>0</v>
      </c>
      <c r="AV33" s="119">
        <f t="shared" si="6"/>
        <v>198.28</v>
      </c>
      <c r="AW33" s="119">
        <f t="shared" si="6"/>
        <v>758.7</v>
      </c>
      <c r="AX33" s="119">
        <f>SUM(AX21:AX32)</f>
        <v>16609.07</v>
      </c>
      <c r="AY33" s="119">
        <f t="shared" si="6"/>
        <v>1398.8700000000001</v>
      </c>
      <c r="AZ33" s="119">
        <f t="shared" si="6"/>
        <v>149.61999999999998</v>
      </c>
      <c r="BA33" s="119">
        <f t="shared" si="6"/>
        <v>92374.36</v>
      </c>
      <c r="BB33" s="119">
        <f t="shared" si="6"/>
        <v>553.58000000000004</v>
      </c>
      <c r="BC33" s="119">
        <f t="shared" si="6"/>
        <v>212.55</v>
      </c>
      <c r="BD33" s="119">
        <f t="shared" si="6"/>
        <v>83938.4</v>
      </c>
      <c r="BE33" s="119">
        <f t="shared" si="6"/>
        <v>74527.850000000006</v>
      </c>
      <c r="BF33" s="119">
        <f t="shared" si="6"/>
        <v>103492.89000000001</v>
      </c>
      <c r="BG33" s="119">
        <f>SUM(BG21:BG32)</f>
        <v>47182.55</v>
      </c>
      <c r="BH33" s="119">
        <f>SUM(BH21:BH32)</f>
        <v>5357.5999999999985</v>
      </c>
      <c r="BI33" s="119">
        <f>SUM(BI21:BI32)</f>
        <v>1079.8300000000002</v>
      </c>
      <c r="BJ33" s="119">
        <f>SUM(BJ21:BJ32)</f>
        <v>2129.67</v>
      </c>
    </row>
    <row r="34" spans="1:62" ht="13.5" thickTop="1" x14ac:dyDescent="0.2">
      <c r="A34" s="120"/>
      <c r="B34" s="120" t="str">
        <f t="shared" ref="B34:AY34" si="7">IF(B16=0,"",(B33/B16))</f>
        <v/>
      </c>
      <c r="C34" s="120">
        <f t="shared" si="7"/>
        <v>1.1081666666666667</v>
      </c>
      <c r="D34" s="120" t="str">
        <f t="shared" si="7"/>
        <v/>
      </c>
      <c r="E34" s="120">
        <f t="shared" si="7"/>
        <v>2.8365168539325847</v>
      </c>
      <c r="F34" s="120">
        <f t="shared" si="7"/>
        <v>0.76727526132404178</v>
      </c>
      <c r="G34" s="120" t="str">
        <f t="shared" si="7"/>
        <v/>
      </c>
      <c r="H34" s="120">
        <f t="shared" si="7"/>
        <v>1.0827217496962331</v>
      </c>
      <c r="I34" s="120">
        <f t="shared" si="7"/>
        <v>0.84258321273516645</v>
      </c>
      <c r="J34" s="120" t="str">
        <f t="shared" si="7"/>
        <v/>
      </c>
      <c r="K34" s="120">
        <f t="shared" si="7"/>
        <v>0.96540184453227929</v>
      </c>
      <c r="L34" s="120">
        <f t="shared" si="7"/>
        <v>2.4107499999999997</v>
      </c>
      <c r="M34" s="120">
        <f t="shared" si="7"/>
        <v>1.8753888888888885</v>
      </c>
      <c r="N34" s="120">
        <f t="shared" si="7"/>
        <v>104.35499999999999</v>
      </c>
      <c r="O34" s="120">
        <f t="shared" si="7"/>
        <v>0.86858108108108101</v>
      </c>
      <c r="P34" s="120">
        <f t="shared" si="7"/>
        <v>1.426198347107438</v>
      </c>
      <c r="Q34" s="120">
        <f t="shared" si="7"/>
        <v>0.76131268436578181</v>
      </c>
      <c r="R34" s="120">
        <f t="shared" si="7"/>
        <v>1.0790067720090293</v>
      </c>
      <c r="S34" s="120">
        <f t="shared" si="7"/>
        <v>0.68452171596056499</v>
      </c>
      <c r="T34" s="120" t="str">
        <f t="shared" si="7"/>
        <v/>
      </c>
      <c r="U34" s="120">
        <f t="shared" si="7"/>
        <v>2.277539682539683</v>
      </c>
      <c r="V34" s="120">
        <f t="shared" si="7"/>
        <v>0.84914163090128736</v>
      </c>
      <c r="W34" s="120">
        <f t="shared" si="7"/>
        <v>5.0456818181818184</v>
      </c>
      <c r="X34" s="120" t="str">
        <f t="shared" si="7"/>
        <v/>
      </c>
      <c r="Y34" s="120">
        <f t="shared" si="7"/>
        <v>0.69765806264501151</v>
      </c>
      <c r="Z34" s="120">
        <f t="shared" si="7"/>
        <v>0.80633399866932776</v>
      </c>
      <c r="AA34" s="120">
        <f t="shared" si="7"/>
        <v>0.62472260748959774</v>
      </c>
      <c r="AB34" s="120">
        <f t="shared" si="7"/>
        <v>0.71302634730538927</v>
      </c>
      <c r="AC34" s="120" t="str">
        <f t="shared" si="7"/>
        <v/>
      </c>
      <c r="AD34" s="120">
        <f t="shared" si="7"/>
        <v>1.4531914893617022</v>
      </c>
      <c r="AE34" s="120">
        <f t="shared" si="7"/>
        <v>0</v>
      </c>
      <c r="AF34" s="120">
        <f t="shared" si="7"/>
        <v>0.38216035586650687</v>
      </c>
      <c r="AG34" s="120">
        <f t="shared" si="7"/>
        <v>3.455958320500975</v>
      </c>
      <c r="AH34" s="120">
        <f t="shared" si="7"/>
        <v>0.35676190225924492</v>
      </c>
      <c r="AI34" s="120" t="str">
        <f t="shared" si="7"/>
        <v/>
      </c>
      <c r="AJ34" s="120">
        <f t="shared" si="7"/>
        <v>0.72586380878724255</v>
      </c>
      <c r="AK34" s="120" t="str">
        <f t="shared" si="7"/>
        <v/>
      </c>
      <c r="AL34" s="120">
        <f t="shared" si="7"/>
        <v>0.38825007675600687</v>
      </c>
      <c r="AM34" s="120">
        <f t="shared" si="7"/>
        <v>2.8051649800907965</v>
      </c>
      <c r="AN34" s="120">
        <f t="shared" si="7"/>
        <v>0.4148272151667094</v>
      </c>
      <c r="AO34" s="120">
        <f t="shared" si="7"/>
        <v>0.32762985430775177</v>
      </c>
      <c r="AP34" s="120">
        <f t="shared" si="7"/>
        <v>0.44786992110252594</v>
      </c>
      <c r="AQ34" s="120">
        <f t="shared" si="7"/>
        <v>0.49060380716934487</v>
      </c>
      <c r="AR34" s="120">
        <f t="shared" si="7"/>
        <v>0.42898428314788523</v>
      </c>
      <c r="AS34" s="120">
        <f t="shared" si="7"/>
        <v>4.2799133387984538</v>
      </c>
      <c r="AT34" s="120">
        <f t="shared" si="7"/>
        <v>0.32646854962841254</v>
      </c>
      <c r="AU34" s="120" t="str">
        <f t="shared" si="7"/>
        <v/>
      </c>
      <c r="AV34" s="120">
        <f t="shared" si="7"/>
        <v>4.8360975609756096</v>
      </c>
      <c r="AW34" s="120">
        <f t="shared" si="7"/>
        <v>1.3240837696335079</v>
      </c>
      <c r="AX34" s="120">
        <f t="shared" si="7"/>
        <v>0.32311479874715482</v>
      </c>
      <c r="AY34" s="120">
        <f t="shared" si="7"/>
        <v>0.82969750889679728</v>
      </c>
      <c r="AZ34" s="120"/>
      <c r="BA34" s="120"/>
      <c r="BB34" s="120"/>
      <c r="BC34" s="120"/>
      <c r="BD34" s="1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4"/>
  <sheetViews>
    <sheetView workbookViewId="0">
      <selection activeCell="E9" sqref="E9"/>
    </sheetView>
  </sheetViews>
  <sheetFormatPr defaultRowHeight="12.75" x14ac:dyDescent="0.2"/>
  <cols>
    <col min="9" max="9" width="12.85546875" customWidth="1"/>
    <col min="17" max="17" width="11.5703125" customWidth="1"/>
    <col min="19" max="19" width="13.140625" customWidth="1"/>
    <col min="22" max="22" width="14.42578125" customWidth="1"/>
    <col min="25" max="25" width="15" customWidth="1"/>
    <col min="27" max="27" width="13.5703125" customWidth="1"/>
    <col min="28" max="28" width="12.28515625" customWidth="1"/>
    <col min="33" max="33" width="13.42578125" customWidth="1"/>
    <col min="34" max="34" width="13.85546875" customWidth="1"/>
    <col min="39" max="39" width="13.7109375" customWidth="1"/>
    <col min="40" max="40" width="12.42578125" customWidth="1"/>
    <col min="43" max="43" width="12.85546875" customWidth="1"/>
    <col min="45" max="45" width="13.28515625" customWidth="1"/>
    <col min="51" max="51" width="13" customWidth="1"/>
    <col min="56" max="56" width="10.85546875" customWidth="1"/>
    <col min="57" max="57" width="11.28515625" customWidth="1"/>
    <col min="58" max="58" width="12.5703125" customWidth="1"/>
    <col min="59" max="59" width="11.5703125" customWidth="1"/>
    <col min="60" max="60" width="11.42578125" customWidth="1"/>
    <col min="61" max="61" width="11.140625" customWidth="1"/>
  </cols>
  <sheetData>
    <row r="1" spans="1:62" x14ac:dyDescent="0.2">
      <c r="A1" s="1" t="s">
        <v>64</v>
      </c>
      <c r="B1" s="47">
        <v>594386</v>
      </c>
      <c r="C1" s="26">
        <v>1588956</v>
      </c>
      <c r="D1" s="26"/>
      <c r="E1" s="48">
        <v>33513</v>
      </c>
      <c r="F1" s="48">
        <v>33514</v>
      </c>
      <c r="G1" s="48">
        <v>105744</v>
      </c>
      <c r="H1" s="49">
        <v>263686</v>
      </c>
      <c r="I1" s="26">
        <v>263691</v>
      </c>
      <c r="J1" s="48">
        <v>263754</v>
      </c>
      <c r="K1" s="48">
        <v>539243</v>
      </c>
      <c r="L1" s="26">
        <v>539246</v>
      </c>
      <c r="M1" s="26">
        <v>574126</v>
      </c>
      <c r="N1" s="26">
        <v>637887</v>
      </c>
      <c r="O1" s="26">
        <v>637888</v>
      </c>
      <c r="P1" s="26">
        <v>637889</v>
      </c>
      <c r="Q1" s="26">
        <v>637890</v>
      </c>
      <c r="R1" s="26">
        <v>637892</v>
      </c>
      <c r="S1" s="26">
        <v>647598</v>
      </c>
      <c r="T1" s="26">
        <v>647856</v>
      </c>
      <c r="U1" s="26">
        <v>687022</v>
      </c>
      <c r="V1" s="26">
        <v>687023</v>
      </c>
      <c r="W1" s="26">
        <v>687831</v>
      </c>
      <c r="X1" s="26">
        <v>740818</v>
      </c>
      <c r="Y1" s="26">
        <v>740824</v>
      </c>
      <c r="Z1" s="26">
        <v>740838</v>
      </c>
      <c r="AA1" s="26">
        <v>740876</v>
      </c>
      <c r="AB1" s="26">
        <v>740882</v>
      </c>
      <c r="AC1" s="50">
        <v>741089</v>
      </c>
      <c r="AD1" s="50">
        <v>742815</v>
      </c>
      <c r="AE1" s="26">
        <v>742950</v>
      </c>
      <c r="AF1" s="50">
        <v>749325</v>
      </c>
      <c r="AG1" s="51">
        <v>749330</v>
      </c>
      <c r="AH1" s="50">
        <v>749334</v>
      </c>
      <c r="AI1" s="52">
        <v>749339</v>
      </c>
      <c r="AJ1" s="53">
        <v>762803</v>
      </c>
      <c r="AK1" s="54">
        <v>765933</v>
      </c>
      <c r="AL1" s="53">
        <v>868849</v>
      </c>
      <c r="AM1" s="53">
        <v>869044</v>
      </c>
      <c r="AN1" s="53">
        <v>869127</v>
      </c>
      <c r="AO1" s="53">
        <v>869308</v>
      </c>
      <c r="AP1" s="53">
        <v>869309</v>
      </c>
      <c r="AQ1" s="53">
        <v>869446</v>
      </c>
      <c r="AR1" s="53">
        <v>888353</v>
      </c>
      <c r="AS1" s="53">
        <v>888354</v>
      </c>
      <c r="AT1" s="53">
        <v>888355</v>
      </c>
      <c r="AU1" s="48">
        <v>1060882</v>
      </c>
      <c r="AV1" s="26">
        <v>1064052</v>
      </c>
      <c r="AW1" s="7" t="s">
        <v>2</v>
      </c>
      <c r="AX1" s="44">
        <v>672937</v>
      </c>
      <c r="AY1" s="7">
        <v>1342205</v>
      </c>
      <c r="AZ1" s="7">
        <v>3452105</v>
      </c>
      <c r="BA1" s="7">
        <v>9224993</v>
      </c>
      <c r="BB1" s="7">
        <v>10471</v>
      </c>
      <c r="BC1" s="1">
        <v>10511133</v>
      </c>
      <c r="BD1" s="1">
        <v>7519036</v>
      </c>
      <c r="BE1" s="7">
        <v>8395898</v>
      </c>
      <c r="BF1" s="7">
        <v>8395895</v>
      </c>
      <c r="BG1" s="7" t="s">
        <v>83</v>
      </c>
      <c r="BH1" s="7">
        <v>6400406302</v>
      </c>
      <c r="BI1" s="7" t="s">
        <v>87</v>
      </c>
      <c r="BJ1" s="7" t="s">
        <v>89</v>
      </c>
    </row>
    <row r="2" spans="1:62" ht="51" x14ac:dyDescent="0.2">
      <c r="A2" s="99">
        <v>2021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80</v>
      </c>
      <c r="BE2" s="105" t="s">
        <v>81</v>
      </c>
      <c r="BF2" s="105" t="s">
        <v>82</v>
      </c>
      <c r="BG2" s="105" t="s">
        <v>84</v>
      </c>
      <c r="BH2" s="105" t="s">
        <v>85</v>
      </c>
      <c r="BI2" s="105" t="s">
        <v>88</v>
      </c>
      <c r="BJ2" s="105" t="s">
        <v>90</v>
      </c>
    </row>
    <row r="3" spans="1:62" x14ac:dyDescent="0.2">
      <c r="A3" s="26" t="s">
        <v>59</v>
      </c>
      <c r="C3">
        <v>10</v>
      </c>
      <c r="E3">
        <v>11</v>
      </c>
      <c r="F3">
        <v>439</v>
      </c>
      <c r="H3">
        <v>616</v>
      </c>
      <c r="I3">
        <v>1571</v>
      </c>
      <c r="K3">
        <v>307</v>
      </c>
      <c r="L3">
        <v>17</v>
      </c>
      <c r="M3">
        <v>43</v>
      </c>
      <c r="N3">
        <v>1</v>
      </c>
      <c r="O3">
        <v>277</v>
      </c>
      <c r="P3">
        <v>147</v>
      </c>
      <c r="Q3">
        <v>819</v>
      </c>
      <c r="R3">
        <v>218</v>
      </c>
      <c r="S3">
        <v>840</v>
      </c>
      <c r="U3">
        <v>12</v>
      </c>
      <c r="V3">
        <v>381</v>
      </c>
      <c r="W3">
        <v>7</v>
      </c>
      <c r="X3">
        <v>0</v>
      </c>
      <c r="Y3">
        <v>1969</v>
      </c>
      <c r="Z3">
        <v>498</v>
      </c>
      <c r="AA3">
        <v>6200</v>
      </c>
      <c r="AB3">
        <v>2177</v>
      </c>
      <c r="AC3">
        <v>0</v>
      </c>
      <c r="AD3">
        <v>0</v>
      </c>
      <c r="AE3">
        <v>0</v>
      </c>
      <c r="AF3">
        <v>1292</v>
      </c>
      <c r="AG3">
        <v>0</v>
      </c>
      <c r="AH3">
        <v>16377</v>
      </c>
      <c r="AJ3">
        <v>0</v>
      </c>
      <c r="AL3">
        <v>67</v>
      </c>
      <c r="AM3">
        <v>603</v>
      </c>
      <c r="AN3">
        <v>775</v>
      </c>
      <c r="AO3">
        <v>0</v>
      </c>
      <c r="AP3">
        <v>361</v>
      </c>
      <c r="AQ3">
        <v>893</v>
      </c>
      <c r="AR3">
        <v>0</v>
      </c>
      <c r="AS3">
        <v>246</v>
      </c>
      <c r="AT3">
        <v>0</v>
      </c>
      <c r="AV3">
        <v>2</v>
      </c>
      <c r="AW3">
        <v>423</v>
      </c>
      <c r="AX3">
        <v>0</v>
      </c>
      <c r="AY3">
        <v>590</v>
      </c>
      <c r="AZ3">
        <v>0</v>
      </c>
      <c r="BA3">
        <v>0</v>
      </c>
      <c r="BB3">
        <v>145</v>
      </c>
      <c r="BC3">
        <v>0</v>
      </c>
      <c r="BG3">
        <v>0</v>
      </c>
      <c r="BH3">
        <v>1015</v>
      </c>
      <c r="BI3">
        <v>479</v>
      </c>
      <c r="BJ3">
        <v>88</v>
      </c>
    </row>
    <row r="4" spans="1:62" x14ac:dyDescent="0.2">
      <c r="A4" s="25" t="s">
        <v>42</v>
      </c>
      <c r="C4">
        <v>15</v>
      </c>
      <c r="E4">
        <v>57</v>
      </c>
      <c r="F4">
        <v>448</v>
      </c>
      <c r="H4">
        <v>616</v>
      </c>
      <c r="I4">
        <v>1571</v>
      </c>
      <c r="K4">
        <v>319</v>
      </c>
      <c r="L4">
        <v>18</v>
      </c>
      <c r="M4">
        <v>52</v>
      </c>
      <c r="N4">
        <v>0</v>
      </c>
      <c r="O4">
        <v>553</v>
      </c>
      <c r="P4">
        <v>167</v>
      </c>
      <c r="Q4">
        <v>1041</v>
      </c>
      <c r="R4">
        <v>244</v>
      </c>
      <c r="S4">
        <v>804</v>
      </c>
      <c r="U4">
        <v>17</v>
      </c>
      <c r="V4">
        <v>484</v>
      </c>
      <c r="W4">
        <v>7</v>
      </c>
      <c r="X4">
        <v>0</v>
      </c>
      <c r="Y4">
        <v>2191</v>
      </c>
      <c r="Z4">
        <v>620</v>
      </c>
      <c r="AA4">
        <v>7048</v>
      </c>
      <c r="AB4">
        <v>1652</v>
      </c>
      <c r="AC4">
        <v>0</v>
      </c>
      <c r="AD4">
        <v>23</v>
      </c>
      <c r="AE4">
        <v>0</v>
      </c>
      <c r="AF4">
        <v>0</v>
      </c>
      <c r="AG4">
        <v>0</v>
      </c>
      <c r="AH4">
        <v>6156</v>
      </c>
      <c r="AJ4">
        <v>0</v>
      </c>
      <c r="AL4">
        <v>67</v>
      </c>
      <c r="AM4">
        <v>6651</v>
      </c>
      <c r="AN4">
        <v>710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>
        <v>2</v>
      </c>
      <c r="AW4">
        <v>423</v>
      </c>
      <c r="AX4">
        <v>0</v>
      </c>
      <c r="AY4">
        <v>681</v>
      </c>
      <c r="AZ4">
        <v>0</v>
      </c>
      <c r="BA4">
        <v>0</v>
      </c>
      <c r="BB4">
        <v>200</v>
      </c>
      <c r="BC4">
        <v>0</v>
      </c>
      <c r="BD4">
        <v>40327</v>
      </c>
      <c r="BE4">
        <v>27848</v>
      </c>
      <c r="BF4">
        <v>41904</v>
      </c>
      <c r="BG4">
        <v>0</v>
      </c>
      <c r="BH4">
        <v>1174</v>
      </c>
      <c r="BI4">
        <v>0</v>
      </c>
      <c r="BJ4">
        <v>144</v>
      </c>
    </row>
    <row r="5" spans="1:62" x14ac:dyDescent="0.2">
      <c r="A5" s="25" t="s">
        <v>43</v>
      </c>
      <c r="C5">
        <v>0</v>
      </c>
      <c r="E5">
        <v>30</v>
      </c>
      <c r="F5">
        <v>50</v>
      </c>
      <c r="H5">
        <v>152</v>
      </c>
      <c r="I5">
        <v>959</v>
      </c>
      <c r="K5">
        <v>112</v>
      </c>
      <c r="L5">
        <v>16</v>
      </c>
      <c r="M5">
        <v>19</v>
      </c>
      <c r="N5">
        <v>0</v>
      </c>
      <c r="O5">
        <v>53</v>
      </c>
      <c r="P5">
        <v>182</v>
      </c>
      <c r="Q5">
        <v>175</v>
      </c>
      <c r="R5">
        <v>94</v>
      </c>
      <c r="S5">
        <v>199</v>
      </c>
      <c r="U5">
        <v>16</v>
      </c>
      <c r="V5">
        <v>470</v>
      </c>
      <c r="W5">
        <v>4</v>
      </c>
      <c r="X5">
        <v>0</v>
      </c>
      <c r="Y5">
        <v>806</v>
      </c>
      <c r="Z5">
        <v>123</v>
      </c>
      <c r="AA5">
        <v>3688</v>
      </c>
      <c r="AB5">
        <v>347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J5">
        <v>0</v>
      </c>
      <c r="AL5">
        <v>65</v>
      </c>
      <c r="AM5">
        <v>1173</v>
      </c>
      <c r="AN5">
        <v>20</v>
      </c>
      <c r="AO5">
        <v>0</v>
      </c>
      <c r="AP5">
        <v>2997</v>
      </c>
      <c r="AQ5">
        <v>2391</v>
      </c>
      <c r="AR5">
        <v>0</v>
      </c>
      <c r="AS5">
        <v>19</v>
      </c>
      <c r="AT5">
        <v>0</v>
      </c>
      <c r="AV5">
        <v>3</v>
      </c>
      <c r="AW5">
        <v>191</v>
      </c>
      <c r="AX5">
        <v>0</v>
      </c>
      <c r="AY5">
        <v>179</v>
      </c>
      <c r="AZ5">
        <v>0</v>
      </c>
      <c r="BA5">
        <v>0</v>
      </c>
      <c r="BB5">
        <v>0</v>
      </c>
      <c r="BC5">
        <v>0</v>
      </c>
      <c r="BD5">
        <v>49159</v>
      </c>
      <c r="BE5">
        <v>35950</v>
      </c>
      <c r="BF5">
        <v>55974</v>
      </c>
      <c r="BG5">
        <v>109</v>
      </c>
      <c r="BH5">
        <v>41</v>
      </c>
      <c r="BI5">
        <v>0</v>
      </c>
      <c r="BJ5">
        <v>63</v>
      </c>
    </row>
    <row r="6" spans="1:62" x14ac:dyDescent="0.2">
      <c r="A6" s="25" t="s">
        <v>44</v>
      </c>
      <c r="C6">
        <v>0</v>
      </c>
      <c r="E6">
        <v>19</v>
      </c>
      <c r="F6">
        <v>32</v>
      </c>
      <c r="H6">
        <v>11</v>
      </c>
      <c r="I6">
        <v>809</v>
      </c>
      <c r="K6">
        <v>61</v>
      </c>
      <c r="L6">
        <v>15</v>
      </c>
      <c r="M6">
        <v>11</v>
      </c>
      <c r="N6">
        <v>0</v>
      </c>
      <c r="O6">
        <v>20</v>
      </c>
      <c r="P6">
        <v>43</v>
      </c>
      <c r="Q6">
        <v>75</v>
      </c>
      <c r="R6">
        <v>16</v>
      </c>
      <c r="S6">
        <v>61</v>
      </c>
      <c r="U6">
        <v>11</v>
      </c>
      <c r="V6">
        <v>165</v>
      </c>
      <c r="W6">
        <v>4</v>
      </c>
      <c r="X6">
        <v>0</v>
      </c>
      <c r="Y6">
        <v>498</v>
      </c>
      <c r="Z6">
        <v>18</v>
      </c>
      <c r="AA6">
        <v>3376</v>
      </c>
      <c r="AB6">
        <v>508</v>
      </c>
      <c r="AC6">
        <v>0</v>
      </c>
      <c r="AD6">
        <v>0</v>
      </c>
      <c r="AE6">
        <v>0</v>
      </c>
      <c r="AF6">
        <v>0</v>
      </c>
      <c r="AG6">
        <v>239</v>
      </c>
      <c r="AH6">
        <v>0</v>
      </c>
      <c r="AJ6">
        <v>0</v>
      </c>
      <c r="AL6">
        <v>0</v>
      </c>
      <c r="AM6">
        <v>4698</v>
      </c>
      <c r="AN6">
        <v>16</v>
      </c>
      <c r="AO6">
        <v>2</v>
      </c>
      <c r="AP6">
        <v>0</v>
      </c>
      <c r="AQ6">
        <v>5454</v>
      </c>
      <c r="AR6">
        <v>0</v>
      </c>
      <c r="AS6">
        <v>7</v>
      </c>
      <c r="AT6">
        <v>1565</v>
      </c>
      <c r="AV6">
        <v>2</v>
      </c>
      <c r="AW6">
        <v>113</v>
      </c>
      <c r="AX6">
        <v>0</v>
      </c>
      <c r="AY6">
        <v>95</v>
      </c>
      <c r="AZ6">
        <v>0</v>
      </c>
      <c r="BA6">
        <v>5</v>
      </c>
      <c r="BB6">
        <v>41</v>
      </c>
      <c r="BC6">
        <v>0</v>
      </c>
      <c r="BD6">
        <v>46617</v>
      </c>
      <c r="BE6">
        <v>29604</v>
      </c>
      <c r="BF6">
        <v>57065</v>
      </c>
      <c r="BG6">
        <v>69</v>
      </c>
      <c r="BH6">
        <v>18</v>
      </c>
      <c r="BI6">
        <v>0</v>
      </c>
      <c r="BJ6">
        <v>10</v>
      </c>
    </row>
    <row r="7" spans="1:62" x14ac:dyDescent="0.2">
      <c r="A7" s="25" t="s">
        <v>45</v>
      </c>
      <c r="C7">
        <v>0</v>
      </c>
      <c r="E7">
        <v>14</v>
      </c>
      <c r="F7">
        <v>0</v>
      </c>
      <c r="H7">
        <v>9</v>
      </c>
      <c r="I7">
        <v>439</v>
      </c>
      <c r="K7">
        <v>6</v>
      </c>
      <c r="L7">
        <v>18</v>
      </c>
      <c r="M7">
        <v>0</v>
      </c>
      <c r="N7">
        <v>0</v>
      </c>
      <c r="O7">
        <v>7</v>
      </c>
      <c r="P7">
        <v>32</v>
      </c>
      <c r="Q7">
        <v>15</v>
      </c>
      <c r="R7">
        <v>9</v>
      </c>
      <c r="S7">
        <v>38</v>
      </c>
      <c r="U7">
        <v>8</v>
      </c>
      <c r="V7">
        <v>57</v>
      </c>
      <c r="W7">
        <v>4</v>
      </c>
      <c r="X7">
        <v>0</v>
      </c>
      <c r="Y7">
        <v>45</v>
      </c>
      <c r="Z7">
        <v>1</v>
      </c>
      <c r="AA7">
        <v>1557</v>
      </c>
      <c r="AB7">
        <v>131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0</v>
      </c>
      <c r="AL7">
        <v>0</v>
      </c>
      <c r="AM7">
        <v>6215</v>
      </c>
      <c r="AN7">
        <v>3</v>
      </c>
      <c r="AO7">
        <v>1</v>
      </c>
      <c r="AP7">
        <v>50</v>
      </c>
      <c r="AQ7">
        <v>2</v>
      </c>
      <c r="AR7">
        <v>0</v>
      </c>
      <c r="AS7">
        <v>0</v>
      </c>
      <c r="AT7">
        <v>0</v>
      </c>
      <c r="AV7">
        <v>2</v>
      </c>
      <c r="AW7">
        <v>26</v>
      </c>
      <c r="AX7">
        <v>0</v>
      </c>
      <c r="AY7">
        <v>20</v>
      </c>
      <c r="AZ7">
        <v>0</v>
      </c>
      <c r="BA7">
        <v>0</v>
      </c>
      <c r="BB7">
        <v>9</v>
      </c>
      <c r="BC7">
        <v>0</v>
      </c>
      <c r="BD7">
        <v>45608</v>
      </c>
      <c r="BE7">
        <v>36586</v>
      </c>
      <c r="BF7">
        <v>39733</v>
      </c>
      <c r="BG7">
        <v>0</v>
      </c>
      <c r="BH7">
        <v>17</v>
      </c>
      <c r="BI7">
        <v>0</v>
      </c>
      <c r="BJ7">
        <v>10</v>
      </c>
    </row>
    <row r="8" spans="1:62" x14ac:dyDescent="0.2">
      <c r="A8" s="25" t="s">
        <v>46</v>
      </c>
      <c r="C8">
        <v>0</v>
      </c>
      <c r="E8">
        <v>14</v>
      </c>
      <c r="F8">
        <v>0</v>
      </c>
      <c r="H8">
        <v>9</v>
      </c>
      <c r="I8">
        <v>0</v>
      </c>
      <c r="K8">
        <v>0</v>
      </c>
      <c r="L8">
        <v>72</v>
      </c>
      <c r="M8">
        <v>0</v>
      </c>
      <c r="N8">
        <v>1</v>
      </c>
      <c r="O8">
        <v>0</v>
      </c>
      <c r="P8">
        <v>30</v>
      </c>
      <c r="Q8">
        <v>2</v>
      </c>
      <c r="R8">
        <v>5</v>
      </c>
      <c r="S8">
        <v>4</v>
      </c>
      <c r="U8">
        <v>9</v>
      </c>
      <c r="V8">
        <v>22</v>
      </c>
      <c r="W8">
        <v>3</v>
      </c>
      <c r="X8">
        <v>0</v>
      </c>
      <c r="Y8">
        <v>22</v>
      </c>
      <c r="Z8">
        <v>3</v>
      </c>
      <c r="AA8">
        <v>179</v>
      </c>
      <c r="AB8">
        <v>73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>
        <v>0</v>
      </c>
      <c r="AL8">
        <v>0</v>
      </c>
      <c r="AM8">
        <v>1425</v>
      </c>
      <c r="AN8">
        <v>6</v>
      </c>
      <c r="AO8">
        <v>1</v>
      </c>
      <c r="AP8">
        <v>3</v>
      </c>
      <c r="AQ8">
        <v>0</v>
      </c>
      <c r="AR8">
        <v>0</v>
      </c>
      <c r="AS8">
        <v>0</v>
      </c>
      <c r="AT8">
        <v>0</v>
      </c>
      <c r="AV8">
        <v>10</v>
      </c>
      <c r="AW8">
        <v>0</v>
      </c>
      <c r="AX8">
        <v>0</v>
      </c>
      <c r="AY8">
        <v>11</v>
      </c>
      <c r="AZ8">
        <v>0</v>
      </c>
      <c r="BA8">
        <v>0</v>
      </c>
      <c r="BB8">
        <v>0</v>
      </c>
      <c r="BC8">
        <v>0</v>
      </c>
      <c r="BD8">
        <v>41339</v>
      </c>
      <c r="BE8">
        <v>31206</v>
      </c>
      <c r="BF8">
        <v>51951</v>
      </c>
      <c r="BG8">
        <v>0</v>
      </c>
      <c r="BH8">
        <v>16</v>
      </c>
      <c r="BI8">
        <v>0</v>
      </c>
      <c r="BJ8">
        <v>10</v>
      </c>
    </row>
    <row r="9" spans="1:62" x14ac:dyDescent="0.2">
      <c r="A9" s="25" t="s">
        <v>47</v>
      </c>
      <c r="E9">
        <v>16</v>
      </c>
      <c r="F9">
        <v>0</v>
      </c>
      <c r="H9">
        <v>9</v>
      </c>
      <c r="I9">
        <v>0</v>
      </c>
      <c r="K9">
        <v>0</v>
      </c>
      <c r="L9">
        <v>12</v>
      </c>
      <c r="M9">
        <v>0</v>
      </c>
      <c r="N9">
        <v>0</v>
      </c>
      <c r="O9">
        <v>0</v>
      </c>
      <c r="P9">
        <v>31</v>
      </c>
      <c r="Q9">
        <v>1</v>
      </c>
      <c r="R9">
        <v>4</v>
      </c>
      <c r="S9">
        <v>0</v>
      </c>
      <c r="U9">
        <v>9</v>
      </c>
      <c r="V9">
        <v>5</v>
      </c>
      <c r="W9">
        <v>3</v>
      </c>
      <c r="X9">
        <v>0</v>
      </c>
      <c r="Y9">
        <v>23</v>
      </c>
      <c r="Z9">
        <v>0</v>
      </c>
      <c r="AA9">
        <v>192</v>
      </c>
      <c r="AB9">
        <v>68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3</v>
      </c>
      <c r="AL9">
        <v>0</v>
      </c>
      <c r="AM9">
        <v>46</v>
      </c>
      <c r="AN9">
        <v>16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2</v>
      </c>
      <c r="AW9">
        <v>0</v>
      </c>
      <c r="AX9">
        <v>4</v>
      </c>
      <c r="AY9">
        <v>0</v>
      </c>
      <c r="AZ9">
        <v>0</v>
      </c>
      <c r="BA9">
        <v>0</v>
      </c>
      <c r="BB9">
        <v>0</v>
      </c>
      <c r="BC9">
        <v>0</v>
      </c>
      <c r="BD9">
        <v>38109</v>
      </c>
      <c r="BE9">
        <v>22013</v>
      </c>
      <c r="BF9">
        <v>56402</v>
      </c>
      <c r="BG9">
        <v>0</v>
      </c>
      <c r="BH9">
        <v>15</v>
      </c>
      <c r="BI9">
        <v>0</v>
      </c>
      <c r="BJ9">
        <v>12</v>
      </c>
    </row>
    <row r="10" spans="1:62" x14ac:dyDescent="0.2">
      <c r="A10" s="25" t="s">
        <v>48</v>
      </c>
      <c r="E10">
        <v>12</v>
      </c>
      <c r="F10">
        <v>0</v>
      </c>
      <c r="H10">
        <v>9</v>
      </c>
      <c r="I10">
        <v>0</v>
      </c>
      <c r="K10">
        <v>0</v>
      </c>
      <c r="L10">
        <v>24</v>
      </c>
      <c r="M10">
        <v>0</v>
      </c>
      <c r="N10">
        <v>0</v>
      </c>
      <c r="O10">
        <v>0</v>
      </c>
      <c r="P10">
        <v>12</v>
      </c>
      <c r="Q10">
        <v>0</v>
      </c>
      <c r="R10">
        <v>4</v>
      </c>
      <c r="S10">
        <v>79</v>
      </c>
      <c r="U10">
        <v>4</v>
      </c>
      <c r="V10">
        <v>4</v>
      </c>
      <c r="W10">
        <v>2</v>
      </c>
      <c r="X10">
        <v>0</v>
      </c>
      <c r="Y10">
        <v>21</v>
      </c>
      <c r="Z10">
        <v>5</v>
      </c>
      <c r="AA10">
        <v>175</v>
      </c>
      <c r="AB10">
        <v>59</v>
      </c>
      <c r="AC10">
        <v>0</v>
      </c>
      <c r="AD10">
        <v>0</v>
      </c>
      <c r="AE10">
        <v>0</v>
      </c>
      <c r="AF10">
        <v>203</v>
      </c>
      <c r="AG10">
        <v>5</v>
      </c>
      <c r="AH10">
        <v>27</v>
      </c>
      <c r="AJ10">
        <v>0</v>
      </c>
      <c r="AL10">
        <v>643</v>
      </c>
      <c r="AM10">
        <v>41</v>
      </c>
      <c r="AN10">
        <v>88</v>
      </c>
      <c r="AO10">
        <v>5867</v>
      </c>
      <c r="AP10">
        <v>6</v>
      </c>
      <c r="AQ10">
        <v>17</v>
      </c>
      <c r="AR10">
        <v>2</v>
      </c>
      <c r="AS10">
        <v>1</v>
      </c>
      <c r="AT10">
        <v>8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9</v>
      </c>
      <c r="BB10">
        <v>0</v>
      </c>
      <c r="BC10">
        <v>0</v>
      </c>
      <c r="BD10">
        <v>37565</v>
      </c>
      <c r="BE10">
        <v>29418</v>
      </c>
      <c r="BF10">
        <v>60746</v>
      </c>
      <c r="BG10">
        <v>1</v>
      </c>
      <c r="BH10">
        <v>15</v>
      </c>
      <c r="BI10">
        <v>0</v>
      </c>
      <c r="BJ10">
        <v>10</v>
      </c>
    </row>
    <row r="11" spans="1:62" x14ac:dyDescent="0.2">
      <c r="A11" s="25" t="s">
        <v>49</v>
      </c>
      <c r="E11">
        <v>12</v>
      </c>
      <c r="F11">
        <v>0</v>
      </c>
      <c r="H11">
        <v>10</v>
      </c>
      <c r="I11">
        <v>0</v>
      </c>
      <c r="K11">
        <v>0</v>
      </c>
      <c r="L11">
        <v>15</v>
      </c>
      <c r="M11">
        <v>0</v>
      </c>
      <c r="N11">
        <v>0</v>
      </c>
      <c r="O11">
        <v>10</v>
      </c>
      <c r="P11">
        <v>10</v>
      </c>
      <c r="Q11">
        <v>4</v>
      </c>
      <c r="R11">
        <v>3</v>
      </c>
      <c r="S11">
        <v>556</v>
      </c>
      <c r="U11">
        <v>6</v>
      </c>
      <c r="V11">
        <v>4</v>
      </c>
      <c r="W11">
        <v>2</v>
      </c>
      <c r="X11">
        <v>0</v>
      </c>
      <c r="Y11">
        <v>21</v>
      </c>
      <c r="Z11">
        <v>0</v>
      </c>
      <c r="AA11">
        <v>161</v>
      </c>
      <c r="AB11">
        <v>347</v>
      </c>
      <c r="AC11">
        <v>0</v>
      </c>
      <c r="AD11">
        <v>0</v>
      </c>
      <c r="AE11">
        <v>0</v>
      </c>
      <c r="AF11">
        <v>44289</v>
      </c>
      <c r="AG11">
        <v>4570</v>
      </c>
      <c r="AH11">
        <v>1939</v>
      </c>
      <c r="AJ11">
        <v>4805</v>
      </c>
      <c r="AL11">
        <v>29120</v>
      </c>
      <c r="AM11">
        <v>56910</v>
      </c>
      <c r="AN11">
        <v>24300</v>
      </c>
      <c r="AO11">
        <v>53523</v>
      </c>
      <c r="AP11">
        <v>49020</v>
      </c>
      <c r="AQ11">
        <v>31798</v>
      </c>
      <c r="AR11">
        <v>27292</v>
      </c>
      <c r="AS11">
        <v>45250</v>
      </c>
      <c r="AT11">
        <v>13828</v>
      </c>
      <c r="AV11">
        <v>5</v>
      </c>
      <c r="AW11">
        <v>1</v>
      </c>
      <c r="AX11">
        <v>15207</v>
      </c>
      <c r="AY11">
        <v>0</v>
      </c>
      <c r="AZ11">
        <v>0</v>
      </c>
      <c r="BA11">
        <v>88388</v>
      </c>
      <c r="BB11">
        <v>0</v>
      </c>
      <c r="BC11">
        <v>0</v>
      </c>
      <c r="BD11">
        <v>84145</v>
      </c>
      <c r="BE11">
        <v>30425</v>
      </c>
      <c r="BF11">
        <v>72713</v>
      </c>
      <c r="BG11">
        <v>6394</v>
      </c>
      <c r="BH11">
        <v>14</v>
      </c>
      <c r="BI11">
        <v>0</v>
      </c>
      <c r="BJ11">
        <v>9</v>
      </c>
    </row>
    <row r="12" spans="1:62" x14ac:dyDescent="0.2">
      <c r="A12" s="25" t="s">
        <v>50</v>
      </c>
      <c r="E12">
        <v>24</v>
      </c>
      <c r="F12">
        <v>44</v>
      </c>
      <c r="H12">
        <v>10</v>
      </c>
      <c r="I12">
        <v>2</v>
      </c>
      <c r="K12">
        <v>18</v>
      </c>
      <c r="L12">
        <v>17</v>
      </c>
      <c r="M12">
        <v>0</v>
      </c>
      <c r="N12">
        <v>1</v>
      </c>
      <c r="O12">
        <v>5</v>
      </c>
      <c r="P12">
        <v>0</v>
      </c>
      <c r="Q12">
        <v>61</v>
      </c>
      <c r="R12">
        <v>4</v>
      </c>
      <c r="S12">
        <v>764</v>
      </c>
      <c r="U12">
        <v>6</v>
      </c>
      <c r="V12">
        <v>4</v>
      </c>
      <c r="W12">
        <v>3</v>
      </c>
      <c r="X12">
        <v>0</v>
      </c>
      <c r="Y12">
        <v>147</v>
      </c>
      <c r="Z12">
        <v>0</v>
      </c>
      <c r="AA12">
        <v>1801</v>
      </c>
      <c r="AB12">
        <v>101</v>
      </c>
      <c r="AC12">
        <v>0</v>
      </c>
      <c r="AD12">
        <v>0</v>
      </c>
      <c r="AE12">
        <v>0</v>
      </c>
      <c r="AF12">
        <v>49525</v>
      </c>
      <c r="AG12">
        <v>5242</v>
      </c>
      <c r="AH12">
        <v>52461</v>
      </c>
      <c r="AJ12">
        <v>21050</v>
      </c>
      <c r="AL12">
        <v>6650</v>
      </c>
      <c r="AM12">
        <v>93118</v>
      </c>
      <c r="AN12">
        <v>0</v>
      </c>
      <c r="AO12">
        <v>15580</v>
      </c>
      <c r="AP12">
        <v>104950</v>
      </c>
      <c r="AQ12">
        <v>59461</v>
      </c>
      <c r="AR12">
        <v>45409</v>
      </c>
      <c r="AS12">
        <v>25220</v>
      </c>
      <c r="AT12">
        <v>60073</v>
      </c>
      <c r="AV12">
        <v>6</v>
      </c>
      <c r="AW12">
        <v>0</v>
      </c>
      <c r="AX12">
        <v>22174</v>
      </c>
      <c r="AY12">
        <v>22</v>
      </c>
      <c r="AZ12">
        <v>0</v>
      </c>
      <c r="BA12">
        <v>75863</v>
      </c>
      <c r="BB12">
        <v>12</v>
      </c>
      <c r="BC12">
        <v>0</v>
      </c>
      <c r="BD12">
        <v>70525</v>
      </c>
      <c r="BE12">
        <v>32436</v>
      </c>
      <c r="BF12">
        <v>84176</v>
      </c>
      <c r="BG12">
        <v>7984</v>
      </c>
      <c r="BH12">
        <v>16</v>
      </c>
      <c r="BI12">
        <v>0</v>
      </c>
      <c r="BJ12">
        <v>11</v>
      </c>
    </row>
    <row r="13" spans="1:62" x14ac:dyDescent="0.2">
      <c r="A13" s="25" t="s">
        <v>51</v>
      </c>
      <c r="E13">
        <v>50</v>
      </c>
      <c r="F13">
        <v>389</v>
      </c>
      <c r="H13">
        <v>152</v>
      </c>
      <c r="I13">
        <v>646</v>
      </c>
      <c r="K13">
        <v>156</v>
      </c>
      <c r="L13">
        <v>21</v>
      </c>
      <c r="M13">
        <v>7</v>
      </c>
      <c r="N13">
        <v>0</v>
      </c>
      <c r="O13">
        <v>72</v>
      </c>
      <c r="P13">
        <v>0</v>
      </c>
      <c r="Q13">
        <v>313</v>
      </c>
      <c r="R13">
        <v>3</v>
      </c>
      <c r="S13">
        <v>496</v>
      </c>
      <c r="U13">
        <v>9</v>
      </c>
      <c r="V13">
        <v>74</v>
      </c>
      <c r="W13">
        <v>4</v>
      </c>
      <c r="X13">
        <v>0</v>
      </c>
      <c r="Y13">
        <v>1363</v>
      </c>
      <c r="Z13">
        <v>177</v>
      </c>
      <c r="AA13">
        <v>6443</v>
      </c>
      <c r="AB13">
        <v>497</v>
      </c>
      <c r="AC13">
        <v>0</v>
      </c>
      <c r="AD13">
        <v>0</v>
      </c>
      <c r="AE13">
        <v>0</v>
      </c>
      <c r="AF13">
        <v>50</v>
      </c>
      <c r="AG13">
        <v>1155</v>
      </c>
      <c r="AH13">
        <v>1499</v>
      </c>
      <c r="AJ13">
        <v>3444</v>
      </c>
      <c r="AL13">
        <v>9650</v>
      </c>
      <c r="AM13">
        <v>24246</v>
      </c>
      <c r="AN13">
        <v>9560</v>
      </c>
      <c r="AO13">
        <v>3426</v>
      </c>
      <c r="AP13">
        <v>21929</v>
      </c>
      <c r="AQ13">
        <v>9783</v>
      </c>
      <c r="AR13">
        <v>7108</v>
      </c>
      <c r="AS13">
        <v>5960</v>
      </c>
      <c r="AT13">
        <v>17527</v>
      </c>
      <c r="AV13">
        <v>2</v>
      </c>
      <c r="AW13">
        <v>105</v>
      </c>
      <c r="AX13">
        <v>283</v>
      </c>
      <c r="AY13">
        <v>226</v>
      </c>
      <c r="AZ13">
        <v>0</v>
      </c>
      <c r="BA13">
        <v>19834</v>
      </c>
      <c r="BB13">
        <v>79</v>
      </c>
      <c r="BC13">
        <v>0</v>
      </c>
      <c r="BD13">
        <v>36405</v>
      </c>
      <c r="BE13">
        <v>32214</v>
      </c>
      <c r="BF13">
        <v>75057</v>
      </c>
      <c r="BG13">
        <v>1492</v>
      </c>
      <c r="BH13">
        <v>91</v>
      </c>
      <c r="BI13">
        <v>150</v>
      </c>
      <c r="BJ13">
        <v>562</v>
      </c>
    </row>
    <row r="14" spans="1:62" x14ac:dyDescent="0.2">
      <c r="A14" s="25" t="s">
        <v>52</v>
      </c>
      <c r="E14">
        <v>55</v>
      </c>
      <c r="F14">
        <v>409</v>
      </c>
      <c r="H14">
        <v>195</v>
      </c>
      <c r="I14">
        <v>992</v>
      </c>
      <c r="K14">
        <v>141</v>
      </c>
      <c r="L14">
        <v>15</v>
      </c>
      <c r="M14">
        <v>26</v>
      </c>
      <c r="N14">
        <v>0</v>
      </c>
      <c r="O14">
        <v>147</v>
      </c>
      <c r="P14">
        <v>62</v>
      </c>
      <c r="Q14">
        <v>309</v>
      </c>
      <c r="R14">
        <v>4</v>
      </c>
      <c r="S14">
        <v>569</v>
      </c>
      <c r="U14">
        <v>10</v>
      </c>
      <c r="V14">
        <v>224</v>
      </c>
      <c r="W14">
        <v>5</v>
      </c>
      <c r="X14">
        <v>0</v>
      </c>
      <c r="Y14">
        <v>1127</v>
      </c>
      <c r="Z14">
        <v>118</v>
      </c>
      <c r="AA14">
        <v>6878</v>
      </c>
      <c r="AB14">
        <v>532</v>
      </c>
      <c r="AC14">
        <v>0</v>
      </c>
      <c r="AD14">
        <v>0</v>
      </c>
      <c r="AE14">
        <v>0</v>
      </c>
      <c r="AF14">
        <v>0</v>
      </c>
      <c r="AG14">
        <v>54</v>
      </c>
      <c r="AH14">
        <v>8817</v>
      </c>
      <c r="AJ14">
        <v>4407</v>
      </c>
      <c r="AL14">
        <v>6650</v>
      </c>
      <c r="AM14">
        <v>3923</v>
      </c>
      <c r="AN14">
        <v>1550</v>
      </c>
      <c r="AO14">
        <v>0</v>
      </c>
      <c r="AP14">
        <v>5772</v>
      </c>
      <c r="AQ14">
        <v>66</v>
      </c>
      <c r="AR14">
        <v>0</v>
      </c>
      <c r="AS14">
        <v>3400</v>
      </c>
      <c r="AT14">
        <v>2456</v>
      </c>
      <c r="AV14">
        <v>1</v>
      </c>
      <c r="AW14">
        <v>206</v>
      </c>
      <c r="AY14">
        <v>280</v>
      </c>
      <c r="AZ14">
        <v>0</v>
      </c>
      <c r="BA14">
        <v>657</v>
      </c>
      <c r="BB14">
        <v>81</v>
      </c>
      <c r="BC14">
        <v>0</v>
      </c>
      <c r="BD14">
        <v>42656</v>
      </c>
      <c r="BE14">
        <v>27481</v>
      </c>
      <c r="BF14">
        <v>75747</v>
      </c>
      <c r="BG14">
        <v>0</v>
      </c>
      <c r="BH14">
        <v>366</v>
      </c>
      <c r="BI14">
        <v>242</v>
      </c>
      <c r="BJ14">
        <v>1071</v>
      </c>
    </row>
    <row r="15" spans="1:62" ht="13.5" thickBot="1" x14ac:dyDescent="0.25">
      <c r="A15" s="92" t="s">
        <v>58</v>
      </c>
      <c r="B15" s="93">
        <f>SUM(B3:B14)/10</f>
        <v>0</v>
      </c>
      <c r="C15" s="93">
        <f>SUM(B20:B31)/10</f>
        <v>0</v>
      </c>
      <c r="D15" s="93"/>
      <c r="E15" s="94">
        <f>SUM(E3:E14)/10</f>
        <v>31.4</v>
      </c>
      <c r="F15" s="94">
        <v>0</v>
      </c>
      <c r="G15" s="95">
        <f>SUM(G3:G14)/10</f>
        <v>0</v>
      </c>
      <c r="H15" s="94">
        <f>SUM(H3:H14)/10</f>
        <v>179.8</v>
      </c>
      <c r="I15" s="94">
        <v>0</v>
      </c>
      <c r="J15" s="94"/>
      <c r="K15" s="94">
        <f t="shared" ref="K15:S15" si="0">SUM(K3:K14)/10</f>
        <v>112</v>
      </c>
      <c r="L15" s="94">
        <f t="shared" si="0"/>
        <v>26</v>
      </c>
      <c r="M15" s="94">
        <f t="shared" si="0"/>
        <v>15.8</v>
      </c>
      <c r="N15" s="94">
        <f t="shared" si="0"/>
        <v>0.3</v>
      </c>
      <c r="O15" s="94">
        <f t="shared" si="0"/>
        <v>114.4</v>
      </c>
      <c r="P15" s="94">
        <f t="shared" si="0"/>
        <v>71.599999999999994</v>
      </c>
      <c r="Q15" s="94">
        <f t="shared" si="0"/>
        <v>281.5</v>
      </c>
      <c r="R15" s="94">
        <f t="shared" si="0"/>
        <v>60.8</v>
      </c>
      <c r="S15" s="94">
        <f t="shared" si="0"/>
        <v>441</v>
      </c>
      <c r="T15" s="94"/>
      <c r="U15" s="94">
        <f t="shared" ref="U15:AE15" si="1">SUM(U3:U14)/10</f>
        <v>11.7</v>
      </c>
      <c r="V15" s="94">
        <f t="shared" si="1"/>
        <v>189.4</v>
      </c>
      <c r="W15" s="94">
        <f t="shared" si="1"/>
        <v>4.8</v>
      </c>
      <c r="X15" s="94">
        <f t="shared" si="1"/>
        <v>0</v>
      </c>
      <c r="Y15" s="94">
        <f t="shared" si="1"/>
        <v>823.3</v>
      </c>
      <c r="Z15" s="94">
        <f t="shared" si="1"/>
        <v>156.30000000000001</v>
      </c>
      <c r="AA15" s="94">
        <f t="shared" si="1"/>
        <v>3769.8</v>
      </c>
      <c r="AB15" s="94">
        <f t="shared" si="1"/>
        <v>649.20000000000005</v>
      </c>
      <c r="AC15" s="94">
        <f t="shared" si="1"/>
        <v>0</v>
      </c>
      <c r="AD15" s="94">
        <f t="shared" si="1"/>
        <v>2.2999999999999998</v>
      </c>
      <c r="AE15" s="94">
        <f t="shared" si="1"/>
        <v>0</v>
      </c>
      <c r="AF15" s="94">
        <f>SUM(AF3:AF14)/10</f>
        <v>9535.9</v>
      </c>
      <c r="AG15" s="94">
        <f>SUM(AG3:AG14)/10</f>
        <v>1126.5</v>
      </c>
      <c r="AH15" s="94">
        <f>SUM(AH3:AH14)/10</f>
        <v>8727.6</v>
      </c>
      <c r="AI15" s="94">
        <f>SUM(AI3:AI14)/10</f>
        <v>0</v>
      </c>
      <c r="AJ15" s="94">
        <f>SUM(AJ3:AJ14)/10</f>
        <v>3370.9</v>
      </c>
      <c r="AK15" s="94"/>
      <c r="AL15" s="94">
        <f t="shared" ref="AL15:BB15" si="2">SUM(AL3:AL14)/10</f>
        <v>5291.2</v>
      </c>
      <c r="AM15" s="94">
        <f t="shared" si="2"/>
        <v>19904.900000000001</v>
      </c>
      <c r="AN15" s="94">
        <f t="shared" si="2"/>
        <v>3704.4</v>
      </c>
      <c r="AO15" s="94">
        <f t="shared" si="2"/>
        <v>7840</v>
      </c>
      <c r="AP15" s="94">
        <f t="shared" si="2"/>
        <v>18508.8</v>
      </c>
      <c r="AQ15" s="94">
        <f t="shared" si="2"/>
        <v>10986.5</v>
      </c>
      <c r="AR15" s="94">
        <f t="shared" si="2"/>
        <v>7981.1</v>
      </c>
      <c r="AS15" s="96">
        <f t="shared" si="2"/>
        <v>8010.3</v>
      </c>
      <c r="AT15" s="94">
        <f t="shared" si="2"/>
        <v>9545.7000000000007</v>
      </c>
      <c r="AU15" s="94">
        <f t="shared" si="2"/>
        <v>0</v>
      </c>
      <c r="AV15" s="94">
        <f t="shared" si="2"/>
        <v>3.9</v>
      </c>
      <c r="AW15" s="94">
        <f t="shared" si="2"/>
        <v>148.80000000000001</v>
      </c>
      <c r="AX15" s="94">
        <f t="shared" si="2"/>
        <v>3766.8</v>
      </c>
      <c r="AY15" s="94">
        <f t="shared" si="2"/>
        <v>210.4</v>
      </c>
      <c r="AZ15" s="94">
        <f t="shared" si="2"/>
        <v>0</v>
      </c>
      <c r="BA15" s="94">
        <f t="shared" si="2"/>
        <v>18475.599999999999</v>
      </c>
      <c r="BB15" s="94">
        <f t="shared" si="2"/>
        <v>56.7</v>
      </c>
      <c r="BC15" s="94">
        <f>SUM(BC3:BC14)/10</f>
        <v>0</v>
      </c>
      <c r="BD15" s="97">
        <f t="shared" ref="BD15:BF16" si="3">SUM(B15:BC15)</f>
        <v>144137.40000000002</v>
      </c>
      <c r="BE15" s="97">
        <f t="shared" si="3"/>
        <v>288274.80000000005</v>
      </c>
      <c r="BF15" s="97">
        <f t="shared" si="3"/>
        <v>576549.60000000009</v>
      </c>
      <c r="BG15" s="97"/>
      <c r="BH15" s="97"/>
      <c r="BI15" s="97"/>
      <c r="BJ15" s="97"/>
    </row>
    <row r="16" spans="1:62" ht="13.5" thickTop="1" x14ac:dyDescent="0.2">
      <c r="A16" s="92"/>
      <c r="B16" s="134">
        <f>SUM(B3:B14)</f>
        <v>0</v>
      </c>
      <c r="C16" s="134">
        <f t="shared" ref="C16:AE16" si="4">SUM(C3:C14)</f>
        <v>25</v>
      </c>
      <c r="D16" s="134">
        <f t="shared" si="4"/>
        <v>0</v>
      </c>
      <c r="E16" s="134">
        <f>SUM(E3:E14)</f>
        <v>314</v>
      </c>
      <c r="F16" s="134">
        <f t="shared" si="4"/>
        <v>1811</v>
      </c>
      <c r="G16" s="134">
        <f t="shared" si="4"/>
        <v>0</v>
      </c>
      <c r="H16" s="134">
        <f t="shared" si="4"/>
        <v>1798</v>
      </c>
      <c r="I16" s="134">
        <f t="shared" si="4"/>
        <v>6989</v>
      </c>
      <c r="J16" s="134">
        <f t="shared" si="4"/>
        <v>0</v>
      </c>
      <c r="K16" s="134">
        <f t="shared" si="4"/>
        <v>1120</v>
      </c>
      <c r="L16" s="134">
        <f t="shared" si="4"/>
        <v>260</v>
      </c>
      <c r="M16" s="134">
        <f t="shared" si="4"/>
        <v>158</v>
      </c>
      <c r="N16" s="134">
        <f t="shared" si="4"/>
        <v>3</v>
      </c>
      <c r="O16" s="134">
        <f t="shared" si="4"/>
        <v>1144</v>
      </c>
      <c r="P16" s="134">
        <f t="shared" si="4"/>
        <v>716</v>
      </c>
      <c r="Q16" s="134">
        <f t="shared" si="4"/>
        <v>2815</v>
      </c>
      <c r="R16" s="134">
        <f t="shared" si="4"/>
        <v>608</v>
      </c>
      <c r="S16" s="134">
        <f t="shared" si="4"/>
        <v>4410</v>
      </c>
      <c r="T16" s="134">
        <f t="shared" si="4"/>
        <v>0</v>
      </c>
      <c r="U16" s="134">
        <f t="shared" si="4"/>
        <v>117</v>
      </c>
      <c r="V16" s="134">
        <f t="shared" si="4"/>
        <v>1894</v>
      </c>
      <c r="W16" s="134">
        <f t="shared" si="4"/>
        <v>48</v>
      </c>
      <c r="X16" s="134">
        <f t="shared" si="4"/>
        <v>0</v>
      </c>
      <c r="Y16" s="134">
        <f t="shared" si="4"/>
        <v>8233</v>
      </c>
      <c r="Z16" s="134">
        <f t="shared" si="4"/>
        <v>1563</v>
      </c>
      <c r="AA16" s="134">
        <f t="shared" si="4"/>
        <v>37698</v>
      </c>
      <c r="AB16" s="134">
        <f t="shared" si="4"/>
        <v>6492</v>
      </c>
      <c r="AC16" s="134">
        <f t="shared" si="4"/>
        <v>0</v>
      </c>
      <c r="AD16" s="134">
        <f t="shared" si="4"/>
        <v>23</v>
      </c>
      <c r="AE16" s="134">
        <f t="shared" si="4"/>
        <v>0</v>
      </c>
      <c r="AF16" s="135">
        <f>SUM(AF3:AF14)</f>
        <v>95359</v>
      </c>
      <c r="AG16" s="135">
        <f>SUM(AG3:AG14)</f>
        <v>11265</v>
      </c>
      <c r="AH16" s="135">
        <f t="shared" ref="AH16:BC16" si="5">SUM(AH3:AH14)</f>
        <v>87276</v>
      </c>
      <c r="AI16" s="135">
        <f t="shared" si="5"/>
        <v>0</v>
      </c>
      <c r="AJ16" s="135">
        <f t="shared" si="5"/>
        <v>33709</v>
      </c>
      <c r="AK16" s="135">
        <f t="shared" si="5"/>
        <v>0</v>
      </c>
      <c r="AL16" s="135">
        <f t="shared" si="5"/>
        <v>52912</v>
      </c>
      <c r="AM16" s="135">
        <f t="shared" si="5"/>
        <v>199049</v>
      </c>
      <c r="AN16" s="135">
        <f t="shared" si="5"/>
        <v>37044</v>
      </c>
      <c r="AO16" s="135">
        <f t="shared" si="5"/>
        <v>78400</v>
      </c>
      <c r="AP16" s="135">
        <f t="shared" si="5"/>
        <v>185088</v>
      </c>
      <c r="AQ16" s="135">
        <f t="shared" si="5"/>
        <v>109865</v>
      </c>
      <c r="AR16" s="135">
        <f t="shared" si="5"/>
        <v>79811</v>
      </c>
      <c r="AS16" s="135">
        <f t="shared" si="5"/>
        <v>80103</v>
      </c>
      <c r="AT16" s="135">
        <f t="shared" si="5"/>
        <v>95457</v>
      </c>
      <c r="AU16" s="135">
        <f t="shared" si="5"/>
        <v>0</v>
      </c>
      <c r="AV16" s="135">
        <f t="shared" si="5"/>
        <v>39</v>
      </c>
      <c r="AW16" s="135">
        <f t="shared" si="5"/>
        <v>1488</v>
      </c>
      <c r="AX16" s="135">
        <f t="shared" si="5"/>
        <v>37668</v>
      </c>
      <c r="AY16" s="135">
        <f t="shared" si="5"/>
        <v>2104</v>
      </c>
      <c r="AZ16" s="135">
        <f t="shared" si="5"/>
        <v>0</v>
      </c>
      <c r="BA16" s="135">
        <f t="shared" si="5"/>
        <v>184756</v>
      </c>
      <c r="BB16" s="135">
        <f t="shared" si="5"/>
        <v>567</v>
      </c>
      <c r="BC16" s="135">
        <f t="shared" si="5"/>
        <v>0</v>
      </c>
      <c r="BD16" s="138">
        <f t="shared" si="3"/>
        <v>1450199</v>
      </c>
      <c r="BE16" s="138">
        <f t="shared" si="3"/>
        <v>2900398</v>
      </c>
      <c r="BF16" s="138">
        <f t="shared" si="3"/>
        <v>5800771</v>
      </c>
      <c r="BG16" s="138"/>
      <c r="BH16" s="138"/>
      <c r="BI16" s="138"/>
      <c r="BJ16" s="138"/>
    </row>
    <row r="20" spans="1:62" x14ac:dyDescent="0.2">
      <c r="A20" s="26">
        <v>2021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  <c r="BJ20" s="31" t="s">
        <v>53</v>
      </c>
    </row>
    <row r="21" spans="1:62" x14ac:dyDescent="0.2">
      <c r="A21" s="106" t="s">
        <v>59</v>
      </c>
      <c r="C21">
        <v>21.74</v>
      </c>
      <c r="E21">
        <v>21.58</v>
      </c>
      <c r="F21">
        <v>266.54000000000002</v>
      </c>
      <c r="H21">
        <v>385.63</v>
      </c>
      <c r="I21">
        <v>956.23</v>
      </c>
      <c r="K21">
        <v>199.17</v>
      </c>
      <c r="L21">
        <v>26.08</v>
      </c>
      <c r="M21">
        <v>41.55</v>
      </c>
      <c r="N21">
        <v>16.54</v>
      </c>
      <c r="O21">
        <v>174.45</v>
      </c>
      <c r="P21">
        <v>140.28</v>
      </c>
      <c r="Q21">
        <v>484.14</v>
      </c>
      <c r="R21">
        <v>140.66</v>
      </c>
      <c r="S21">
        <v>496.84</v>
      </c>
      <c r="U21">
        <v>25.82</v>
      </c>
      <c r="V21">
        <v>249.08</v>
      </c>
      <c r="W21">
        <v>19.3</v>
      </c>
      <c r="X21">
        <v>17.559999999999999</v>
      </c>
      <c r="Y21">
        <v>1122.8699999999999</v>
      </c>
      <c r="Z21">
        <v>300.99</v>
      </c>
      <c r="AA21">
        <v>3361.23</v>
      </c>
      <c r="AB21">
        <v>1232.9000000000001</v>
      </c>
      <c r="AC21">
        <v>16.84</v>
      </c>
      <c r="AD21">
        <v>15.31</v>
      </c>
      <c r="AE21">
        <v>15.96</v>
      </c>
      <c r="AF21">
        <v>756.24</v>
      </c>
      <c r="AG21">
        <v>0</v>
      </c>
      <c r="AH21">
        <v>8764</v>
      </c>
      <c r="AJ21">
        <v>15.31</v>
      </c>
      <c r="AL21">
        <v>415.76</v>
      </c>
      <c r="AM21">
        <v>403.74</v>
      </c>
      <c r="AN21">
        <v>521.36</v>
      </c>
      <c r="AO21">
        <v>15.31</v>
      </c>
      <c r="AP21">
        <v>222.94</v>
      </c>
      <c r="AQ21">
        <v>529.58000000000004</v>
      </c>
      <c r="AR21">
        <v>0</v>
      </c>
      <c r="AS21">
        <v>1566.78</v>
      </c>
      <c r="AT21">
        <v>0</v>
      </c>
      <c r="AV21">
        <v>13.8</v>
      </c>
      <c r="AW21">
        <v>269.67</v>
      </c>
      <c r="AX21">
        <v>0</v>
      </c>
      <c r="AY21">
        <v>368.23</v>
      </c>
      <c r="AZ21">
        <v>11.74</v>
      </c>
      <c r="BA21">
        <v>0</v>
      </c>
      <c r="BB21">
        <v>98.94</v>
      </c>
      <c r="BC21">
        <v>17.510000000000002</v>
      </c>
      <c r="BD21">
        <v>6735.11</v>
      </c>
      <c r="BE21">
        <v>5980.03</v>
      </c>
      <c r="BF21">
        <v>8255.0499999999993</v>
      </c>
      <c r="BG21">
        <v>0</v>
      </c>
      <c r="BH21">
        <v>673.27</v>
      </c>
      <c r="BI21">
        <v>335.61</v>
      </c>
      <c r="BJ21">
        <v>72.45</v>
      </c>
    </row>
    <row r="22" spans="1:62" x14ac:dyDescent="0.2">
      <c r="A22" s="113" t="s">
        <v>42</v>
      </c>
      <c r="C22">
        <v>0</v>
      </c>
      <c r="E22">
        <v>50.01</v>
      </c>
      <c r="F22">
        <v>262.82</v>
      </c>
      <c r="H22">
        <v>426.73</v>
      </c>
      <c r="I22">
        <v>866.54</v>
      </c>
      <c r="K22">
        <v>201.33</v>
      </c>
      <c r="L22">
        <v>29.29</v>
      </c>
      <c r="M22">
        <v>50.13</v>
      </c>
      <c r="N22">
        <v>17.63</v>
      </c>
      <c r="O22">
        <v>317.02999999999997</v>
      </c>
      <c r="P22">
        <v>152.97999999999999</v>
      </c>
      <c r="Q22">
        <v>580.08000000000004</v>
      </c>
      <c r="R22">
        <v>153.31</v>
      </c>
      <c r="S22">
        <v>455.95</v>
      </c>
      <c r="U22">
        <v>28.27</v>
      </c>
      <c r="V22">
        <v>303.26</v>
      </c>
      <c r="W22">
        <v>19.3</v>
      </c>
      <c r="X22">
        <v>15.96</v>
      </c>
      <c r="Y22">
        <v>1170.28</v>
      </c>
      <c r="Z22">
        <v>354.91</v>
      </c>
      <c r="AA22">
        <v>3566.45</v>
      </c>
      <c r="AB22">
        <v>911.54</v>
      </c>
      <c r="AC22">
        <v>15.31</v>
      </c>
      <c r="AD22">
        <v>29.97</v>
      </c>
      <c r="AE22">
        <v>17.559999999999999</v>
      </c>
      <c r="AF22">
        <v>16.03</v>
      </c>
      <c r="AG22">
        <v>0</v>
      </c>
      <c r="AH22">
        <v>3442.24</v>
      </c>
      <c r="AJ22">
        <v>15.31</v>
      </c>
      <c r="AL22">
        <v>398.77</v>
      </c>
      <c r="AM22">
        <v>3728.01</v>
      </c>
      <c r="AN22">
        <v>540.17999999999995</v>
      </c>
      <c r="AO22">
        <v>16.84</v>
      </c>
      <c r="AP22">
        <v>226.56</v>
      </c>
      <c r="AQ22">
        <v>146.82</v>
      </c>
      <c r="AR22">
        <v>0</v>
      </c>
      <c r="AS22">
        <v>636.14</v>
      </c>
      <c r="AT22">
        <v>3.37</v>
      </c>
      <c r="AV22">
        <v>15.18</v>
      </c>
      <c r="AW22">
        <v>288.55</v>
      </c>
      <c r="AX22">
        <v>0</v>
      </c>
      <c r="AY22">
        <v>403.86</v>
      </c>
      <c r="AZ22">
        <v>11.74</v>
      </c>
      <c r="BA22">
        <v>0</v>
      </c>
      <c r="BB22">
        <v>124.31</v>
      </c>
      <c r="BC22">
        <v>16.46</v>
      </c>
      <c r="BD22">
        <v>6735.11</v>
      </c>
      <c r="BE22">
        <v>5980.03</v>
      </c>
      <c r="BF22">
        <v>8334.1200000000008</v>
      </c>
      <c r="BG22">
        <v>0</v>
      </c>
      <c r="BH22">
        <v>734.5</v>
      </c>
      <c r="BI22">
        <v>356.39</v>
      </c>
      <c r="BJ22">
        <v>108.45</v>
      </c>
    </row>
    <row r="23" spans="1:62" x14ac:dyDescent="0.2">
      <c r="A23" s="113" t="s">
        <v>43</v>
      </c>
      <c r="C23">
        <v>20.9</v>
      </c>
      <c r="E23">
        <v>33.6</v>
      </c>
      <c r="F23">
        <v>45.79</v>
      </c>
      <c r="H23">
        <v>107.73</v>
      </c>
      <c r="I23">
        <v>602.28</v>
      </c>
      <c r="K23">
        <v>87.7</v>
      </c>
      <c r="L23">
        <v>26.13</v>
      </c>
      <c r="M23">
        <v>28.04</v>
      </c>
      <c r="N23">
        <v>15.98</v>
      </c>
      <c r="O23">
        <v>48.26</v>
      </c>
      <c r="P23">
        <v>152.54</v>
      </c>
      <c r="Q23">
        <v>124.04</v>
      </c>
      <c r="R23">
        <v>73.61</v>
      </c>
      <c r="S23">
        <v>139.85</v>
      </c>
      <c r="U23">
        <v>27.27</v>
      </c>
      <c r="V23">
        <v>282.02</v>
      </c>
      <c r="W23">
        <v>17.59</v>
      </c>
      <c r="X23">
        <v>15.96</v>
      </c>
      <c r="Y23">
        <v>522.80999999999995</v>
      </c>
      <c r="Z23">
        <v>91.89</v>
      </c>
      <c r="AA23">
        <v>2245.79</v>
      </c>
      <c r="AB23">
        <v>233.23</v>
      </c>
      <c r="AC23">
        <v>15.31</v>
      </c>
      <c r="AD23">
        <v>15.31</v>
      </c>
      <c r="AE23">
        <v>15.96</v>
      </c>
      <c r="AF23">
        <v>33.549999999999997</v>
      </c>
      <c r="AG23">
        <v>0</v>
      </c>
      <c r="AH23">
        <v>177.68</v>
      </c>
      <c r="AJ23">
        <v>15.31</v>
      </c>
      <c r="AL23">
        <v>439.14</v>
      </c>
      <c r="AM23">
        <v>675.92</v>
      </c>
      <c r="AN23">
        <v>110.7</v>
      </c>
      <c r="AO23">
        <v>15.31</v>
      </c>
      <c r="AP23">
        <v>1710.54</v>
      </c>
      <c r="AQ23">
        <v>1380.71</v>
      </c>
      <c r="AR23">
        <v>0</v>
      </c>
      <c r="AS23">
        <v>140.66</v>
      </c>
      <c r="AT23">
        <v>0</v>
      </c>
      <c r="AV23">
        <v>14.89</v>
      </c>
      <c r="AW23">
        <v>131.62</v>
      </c>
      <c r="AX23">
        <v>0</v>
      </c>
      <c r="AY23">
        <v>131.47</v>
      </c>
      <c r="AZ23">
        <v>11.74</v>
      </c>
      <c r="BA23">
        <v>0</v>
      </c>
      <c r="BB23">
        <v>69.260000000000005</v>
      </c>
      <c r="BC23">
        <v>16.46</v>
      </c>
      <c r="BD23">
        <v>6735.11</v>
      </c>
      <c r="BE23">
        <v>5980.03</v>
      </c>
      <c r="BF23">
        <v>8333.82</v>
      </c>
      <c r="BG23">
        <v>748.06</v>
      </c>
      <c r="BH23">
        <v>45.57</v>
      </c>
      <c r="BI23">
        <v>281.45</v>
      </c>
      <c r="BJ23">
        <v>59.33</v>
      </c>
    </row>
    <row r="24" spans="1:62" x14ac:dyDescent="0.2">
      <c r="A24" s="113" t="s">
        <v>44</v>
      </c>
      <c r="C24">
        <v>16.03</v>
      </c>
      <c r="E24">
        <v>30.72</v>
      </c>
      <c r="F24">
        <v>41.24</v>
      </c>
      <c r="H24">
        <v>22.94</v>
      </c>
      <c r="I24">
        <v>528.08000000000004</v>
      </c>
      <c r="K24">
        <v>67.430000000000007</v>
      </c>
      <c r="L24">
        <v>28.58</v>
      </c>
      <c r="M24">
        <v>25.21</v>
      </c>
      <c r="N24">
        <v>15.98</v>
      </c>
      <c r="O24">
        <v>32.19</v>
      </c>
      <c r="P24">
        <v>55.31</v>
      </c>
      <c r="Q24">
        <v>76.08</v>
      </c>
      <c r="R24">
        <v>28.94</v>
      </c>
      <c r="S24">
        <v>65.400000000000006</v>
      </c>
      <c r="U24">
        <v>23.08</v>
      </c>
      <c r="V24">
        <v>122.51</v>
      </c>
      <c r="W24">
        <v>17.739999999999998</v>
      </c>
      <c r="X24">
        <v>15.96</v>
      </c>
      <c r="Y24">
        <v>419.46</v>
      </c>
      <c r="Z24">
        <v>30.57</v>
      </c>
      <c r="AA24">
        <v>2669.56</v>
      </c>
      <c r="AB24">
        <v>427.57</v>
      </c>
      <c r="AC24">
        <v>15.31</v>
      </c>
      <c r="AD24">
        <v>15.31</v>
      </c>
      <c r="AE24">
        <v>15.93</v>
      </c>
      <c r="AF24">
        <v>16.03</v>
      </c>
      <c r="AG24">
        <v>1217.2</v>
      </c>
      <c r="AH24">
        <v>0</v>
      </c>
      <c r="AJ24">
        <v>15.31</v>
      </c>
      <c r="AL24">
        <v>-795.27</v>
      </c>
      <c r="AM24">
        <v>2946.65</v>
      </c>
      <c r="AN24">
        <v>121.98</v>
      </c>
      <c r="AO24">
        <v>16.940000000000001</v>
      </c>
      <c r="AP24">
        <v>-685.33</v>
      </c>
      <c r="AQ24">
        <v>3153.66</v>
      </c>
      <c r="AR24">
        <v>0</v>
      </c>
      <c r="AS24">
        <v>54.25</v>
      </c>
      <c r="AT24">
        <v>858.52</v>
      </c>
      <c r="AV24">
        <v>14.36</v>
      </c>
      <c r="AW24">
        <v>87.66</v>
      </c>
      <c r="AX24">
        <v>0</v>
      </c>
      <c r="AY24">
        <v>96.17</v>
      </c>
      <c r="AZ24">
        <v>11.74</v>
      </c>
      <c r="BA24">
        <v>3.88</v>
      </c>
      <c r="BB24">
        <v>41.01</v>
      </c>
      <c r="BC24">
        <v>16.46</v>
      </c>
      <c r="BD24">
        <v>6735.11</v>
      </c>
      <c r="BE24">
        <v>5980.03</v>
      </c>
      <c r="BF24">
        <v>8333.82</v>
      </c>
      <c r="BG24">
        <v>388.12</v>
      </c>
      <c r="BH24">
        <v>33.82</v>
      </c>
      <c r="BI24">
        <v>87.7</v>
      </c>
      <c r="BJ24">
        <v>25.87</v>
      </c>
    </row>
    <row r="25" spans="1:62" x14ac:dyDescent="0.2">
      <c r="A25" s="113" t="s">
        <v>45</v>
      </c>
      <c r="C25">
        <v>16.03</v>
      </c>
      <c r="E25">
        <v>26.65</v>
      </c>
      <c r="F25">
        <v>15.31</v>
      </c>
      <c r="H25">
        <v>23.56</v>
      </c>
      <c r="I25">
        <v>386.77</v>
      </c>
      <c r="K25">
        <v>21.05</v>
      </c>
      <c r="L25">
        <v>31.17</v>
      </c>
      <c r="M25">
        <v>15.96</v>
      </c>
      <c r="N25">
        <v>15.98</v>
      </c>
      <c r="O25">
        <v>21.66</v>
      </c>
      <c r="P25">
        <v>48.91</v>
      </c>
      <c r="Q25">
        <v>27.45</v>
      </c>
      <c r="R25">
        <v>23.27</v>
      </c>
      <c r="S25">
        <v>46.77</v>
      </c>
      <c r="U25">
        <v>21.93</v>
      </c>
      <c r="V25">
        <v>64.12</v>
      </c>
      <c r="W25">
        <v>18.54</v>
      </c>
      <c r="X25">
        <v>15.96</v>
      </c>
      <c r="Y25">
        <v>52.44</v>
      </c>
      <c r="Z25">
        <v>16.78</v>
      </c>
      <c r="AA25">
        <v>1275.02</v>
      </c>
      <c r="AB25">
        <v>122.11</v>
      </c>
      <c r="AC25">
        <v>15.31</v>
      </c>
      <c r="AD25">
        <v>15.31</v>
      </c>
      <c r="AE25">
        <v>15.96</v>
      </c>
      <c r="AF25">
        <v>16.03</v>
      </c>
      <c r="AG25">
        <v>0</v>
      </c>
      <c r="AH25">
        <v>0</v>
      </c>
      <c r="AJ25">
        <v>15.31</v>
      </c>
      <c r="AL25">
        <v>-747.42</v>
      </c>
      <c r="AM25">
        <v>5051.33</v>
      </c>
      <c r="AN25">
        <v>22.9</v>
      </c>
      <c r="AO25">
        <v>16.11</v>
      </c>
      <c r="AP25">
        <v>-629.49</v>
      </c>
      <c r="AQ25">
        <v>16.940000000000001</v>
      </c>
      <c r="AR25">
        <v>0</v>
      </c>
      <c r="AS25">
        <v>0</v>
      </c>
      <c r="AT25">
        <v>0</v>
      </c>
      <c r="AV25">
        <v>14.36</v>
      </c>
      <c r="AW25">
        <v>37.93</v>
      </c>
      <c r="AX25">
        <v>0</v>
      </c>
      <c r="AY25">
        <v>32.86</v>
      </c>
      <c r="AZ25">
        <v>11.74</v>
      </c>
      <c r="BA25">
        <v>0</v>
      </c>
      <c r="BB25">
        <v>23.32</v>
      </c>
      <c r="BC25">
        <v>16.46</v>
      </c>
      <c r="BD25">
        <v>6735.11</v>
      </c>
      <c r="BE25">
        <v>5980.03</v>
      </c>
      <c r="BF25">
        <v>8333.82</v>
      </c>
      <c r="BG25">
        <v>0</v>
      </c>
      <c r="BH25">
        <v>32.9</v>
      </c>
      <c r="BI25">
        <v>69.87</v>
      </c>
      <c r="BJ25">
        <v>25.87</v>
      </c>
    </row>
    <row r="26" spans="1:62" x14ac:dyDescent="0.2">
      <c r="A26" s="113" t="s">
        <v>46</v>
      </c>
      <c r="C26">
        <v>16.03</v>
      </c>
      <c r="E26">
        <v>26.65</v>
      </c>
      <c r="F26">
        <v>15.31</v>
      </c>
      <c r="H26">
        <v>25.24</v>
      </c>
      <c r="I26">
        <v>15.96</v>
      </c>
      <c r="K26">
        <v>15.96</v>
      </c>
      <c r="L26">
        <v>76.77</v>
      </c>
      <c r="M26">
        <v>15.96</v>
      </c>
      <c r="N26">
        <v>16.78</v>
      </c>
      <c r="O26">
        <v>15.98</v>
      </c>
      <c r="P26">
        <v>46.64</v>
      </c>
      <c r="Q26">
        <v>16.940000000000001</v>
      </c>
      <c r="R26">
        <v>20.03</v>
      </c>
      <c r="S26">
        <v>19.21</v>
      </c>
      <c r="U26">
        <v>23.21</v>
      </c>
      <c r="V26">
        <v>34.549999999999997</v>
      </c>
      <c r="W26">
        <v>17.73</v>
      </c>
      <c r="X26">
        <v>15.96</v>
      </c>
      <c r="Y26">
        <v>33.81</v>
      </c>
      <c r="Z26">
        <v>18.399999999999999</v>
      </c>
      <c r="AA26">
        <v>161</v>
      </c>
      <c r="AB26">
        <v>75.13</v>
      </c>
      <c r="AC26">
        <v>15.31</v>
      </c>
      <c r="AD26">
        <v>15.31</v>
      </c>
      <c r="AE26">
        <v>15.96</v>
      </c>
      <c r="AF26">
        <v>16.03</v>
      </c>
      <c r="AG26">
        <v>0</v>
      </c>
      <c r="AH26">
        <v>0</v>
      </c>
      <c r="AJ26">
        <v>15.31</v>
      </c>
      <c r="AM26">
        <v>1219.5899999999999</v>
      </c>
      <c r="AN26">
        <v>45.77</v>
      </c>
      <c r="AO26">
        <v>16.11</v>
      </c>
      <c r="AP26">
        <v>17.73</v>
      </c>
      <c r="AQ26">
        <v>16.11</v>
      </c>
      <c r="AR26">
        <v>0</v>
      </c>
      <c r="AS26">
        <v>0</v>
      </c>
      <c r="AT26">
        <v>0</v>
      </c>
      <c r="AV26">
        <v>25.87</v>
      </c>
      <c r="AW26">
        <v>16.79</v>
      </c>
      <c r="AX26">
        <v>0</v>
      </c>
      <c r="AY26">
        <v>25.24</v>
      </c>
      <c r="AZ26">
        <v>11.74</v>
      </c>
      <c r="BA26">
        <v>0</v>
      </c>
      <c r="BB26">
        <v>16.03</v>
      </c>
      <c r="BC26">
        <v>16.46</v>
      </c>
      <c r="BD26">
        <v>6735.11</v>
      </c>
      <c r="BE26">
        <v>5980.03</v>
      </c>
      <c r="BF26">
        <v>8333.82</v>
      </c>
      <c r="BG26">
        <v>0</v>
      </c>
      <c r="BH26">
        <v>31.97</v>
      </c>
      <c r="BI26">
        <v>25.92</v>
      </c>
      <c r="BJ26">
        <v>25.87</v>
      </c>
    </row>
    <row r="27" spans="1:62" x14ac:dyDescent="0.2">
      <c r="A27" s="113" t="s">
        <v>47</v>
      </c>
      <c r="E27">
        <v>28.27</v>
      </c>
      <c r="F27">
        <v>15.31</v>
      </c>
      <c r="H27">
        <v>23.56</v>
      </c>
      <c r="I27">
        <v>15.96</v>
      </c>
      <c r="K27">
        <v>15.96</v>
      </c>
      <c r="L27">
        <v>26.08</v>
      </c>
      <c r="M27">
        <v>15.96</v>
      </c>
      <c r="N27">
        <v>15.98</v>
      </c>
      <c r="O27">
        <v>15.98</v>
      </c>
      <c r="P27">
        <v>47.77</v>
      </c>
      <c r="Q27">
        <v>16.11</v>
      </c>
      <c r="R27">
        <v>19.21</v>
      </c>
      <c r="S27">
        <v>15.98</v>
      </c>
      <c r="U27">
        <v>23.21</v>
      </c>
      <c r="V27">
        <v>20.18</v>
      </c>
      <c r="W27">
        <v>17.73</v>
      </c>
      <c r="X27">
        <v>15.96</v>
      </c>
      <c r="Y27">
        <v>34.61</v>
      </c>
      <c r="Z27">
        <v>15.98</v>
      </c>
      <c r="AA27">
        <v>171.55</v>
      </c>
      <c r="AB27">
        <v>71.069999999999993</v>
      </c>
      <c r="AC27">
        <v>15.31</v>
      </c>
      <c r="AD27">
        <v>15.31</v>
      </c>
      <c r="AE27">
        <v>15.96</v>
      </c>
      <c r="AF27">
        <v>16.03</v>
      </c>
      <c r="AG27">
        <v>0</v>
      </c>
      <c r="AH27">
        <v>0</v>
      </c>
      <c r="AJ27">
        <v>17.73</v>
      </c>
      <c r="AL27">
        <v>-647</v>
      </c>
      <c r="AM27">
        <v>54.81</v>
      </c>
      <c r="AN27">
        <v>122.05</v>
      </c>
      <c r="AO27">
        <v>12.08</v>
      </c>
      <c r="AP27">
        <v>33.04</v>
      </c>
      <c r="AQ27">
        <v>15.31</v>
      </c>
      <c r="AR27">
        <v>0</v>
      </c>
      <c r="AS27">
        <v>0</v>
      </c>
      <c r="AT27">
        <v>0</v>
      </c>
      <c r="AV27">
        <v>14.36</v>
      </c>
      <c r="AW27">
        <v>16.79</v>
      </c>
      <c r="AX27">
        <v>2.92</v>
      </c>
      <c r="AY27">
        <v>15.96</v>
      </c>
      <c r="AZ27">
        <v>11.74</v>
      </c>
      <c r="BA27">
        <v>0</v>
      </c>
      <c r="BB27">
        <v>16.03</v>
      </c>
      <c r="BC27">
        <v>16.46</v>
      </c>
      <c r="BD27">
        <v>6735.11</v>
      </c>
      <c r="BE27">
        <v>5980.03</v>
      </c>
      <c r="BF27">
        <v>8333.82</v>
      </c>
      <c r="BG27">
        <v>0</v>
      </c>
      <c r="BH27">
        <v>31.06</v>
      </c>
      <c r="BI27">
        <v>19.78</v>
      </c>
      <c r="BJ27">
        <v>27.65</v>
      </c>
    </row>
    <row r="28" spans="1:62" x14ac:dyDescent="0.2">
      <c r="A28" s="113" t="s">
        <v>48</v>
      </c>
      <c r="E28">
        <v>25.02</v>
      </c>
      <c r="F28">
        <v>15.31</v>
      </c>
      <c r="H28">
        <v>23.56</v>
      </c>
      <c r="I28">
        <v>15.96</v>
      </c>
      <c r="K28">
        <v>15.96</v>
      </c>
      <c r="L28">
        <v>36.229999999999997</v>
      </c>
      <c r="M28">
        <v>15.96</v>
      </c>
      <c r="N28">
        <v>15.98</v>
      </c>
      <c r="O28">
        <v>15.98</v>
      </c>
      <c r="P28">
        <v>26.01</v>
      </c>
      <c r="Q28">
        <v>15.31</v>
      </c>
      <c r="R28">
        <v>19.21</v>
      </c>
      <c r="S28">
        <v>79.98</v>
      </c>
      <c r="U28">
        <v>16.850000000000001</v>
      </c>
      <c r="V28">
        <v>19.329999999999998</v>
      </c>
      <c r="W28">
        <v>16.940000000000001</v>
      </c>
      <c r="X28">
        <v>15.96</v>
      </c>
      <c r="Y28">
        <v>33.01</v>
      </c>
      <c r="Z28">
        <v>20.03</v>
      </c>
      <c r="AA28">
        <v>157.77000000000001</v>
      </c>
      <c r="AB28">
        <v>63.78</v>
      </c>
      <c r="AC28">
        <v>15.31</v>
      </c>
      <c r="AD28">
        <v>15.31</v>
      </c>
      <c r="AE28">
        <v>15.96</v>
      </c>
      <c r="AF28">
        <v>180.51</v>
      </c>
      <c r="AG28">
        <v>38.15</v>
      </c>
      <c r="AH28">
        <v>19.86</v>
      </c>
      <c r="AJ28">
        <v>15.31</v>
      </c>
      <c r="AL28">
        <v>4576.1899999999996</v>
      </c>
      <c r="AM28">
        <v>50.59</v>
      </c>
      <c r="AN28">
        <v>671.38</v>
      </c>
      <c r="AO28">
        <v>4578.6000000000004</v>
      </c>
      <c r="AP28">
        <v>20.190000000000001</v>
      </c>
      <c r="AQ28">
        <v>29.09</v>
      </c>
      <c r="AR28">
        <v>2.19</v>
      </c>
      <c r="AS28">
        <v>7.76</v>
      </c>
      <c r="AT28">
        <v>6.1</v>
      </c>
      <c r="AV28">
        <v>14.36</v>
      </c>
      <c r="AW28">
        <v>15.96</v>
      </c>
      <c r="AX28">
        <v>0</v>
      </c>
      <c r="AY28">
        <v>15.96</v>
      </c>
      <c r="AZ28">
        <v>11.74</v>
      </c>
      <c r="BA28">
        <v>6.99</v>
      </c>
      <c r="BB28">
        <v>16.03</v>
      </c>
      <c r="BC28">
        <v>16.46</v>
      </c>
      <c r="BD28">
        <v>6735.11</v>
      </c>
      <c r="BE28">
        <v>5980.03</v>
      </c>
      <c r="BF28">
        <v>8333.82</v>
      </c>
      <c r="BG28">
        <v>7.81</v>
      </c>
      <c r="BH28">
        <v>31.06</v>
      </c>
      <c r="BI28">
        <v>38.64</v>
      </c>
      <c r="BJ28">
        <v>25.87</v>
      </c>
    </row>
    <row r="29" spans="1:62" x14ac:dyDescent="0.2">
      <c r="A29" s="113" t="s">
        <v>49</v>
      </c>
      <c r="E29">
        <v>23.99</v>
      </c>
      <c r="F29">
        <v>14.4</v>
      </c>
      <c r="H29">
        <v>24.42</v>
      </c>
      <c r="I29">
        <v>15.96</v>
      </c>
      <c r="K29">
        <v>15.01</v>
      </c>
      <c r="L29">
        <v>27.51</v>
      </c>
      <c r="M29">
        <v>15.01</v>
      </c>
      <c r="N29">
        <v>15.07</v>
      </c>
      <c r="O29">
        <v>15.07</v>
      </c>
      <c r="P29">
        <v>23.57</v>
      </c>
      <c r="Q29">
        <v>17.59</v>
      </c>
      <c r="R29">
        <v>17.47</v>
      </c>
      <c r="S29">
        <v>459.67</v>
      </c>
      <c r="U29">
        <v>19.37</v>
      </c>
      <c r="V29">
        <v>19.329999999999998</v>
      </c>
      <c r="W29">
        <v>16.940000000000001</v>
      </c>
      <c r="X29">
        <v>15.96</v>
      </c>
      <c r="Y29">
        <v>31.88</v>
      </c>
      <c r="Z29">
        <v>15.07</v>
      </c>
      <c r="AA29">
        <v>143.81</v>
      </c>
      <c r="AB29">
        <v>292.55</v>
      </c>
      <c r="AC29">
        <v>15.31</v>
      </c>
      <c r="AD29">
        <v>14.4</v>
      </c>
      <c r="AE29">
        <v>15.01</v>
      </c>
      <c r="AF29">
        <v>31772.35</v>
      </c>
      <c r="AG29">
        <v>27069.41</v>
      </c>
      <c r="AH29">
        <v>1369.12</v>
      </c>
      <c r="AJ29">
        <v>3764.42</v>
      </c>
      <c r="AL29">
        <v>212039.59</v>
      </c>
      <c r="AM29">
        <v>42192.35</v>
      </c>
      <c r="AN29">
        <v>14904.08</v>
      </c>
      <c r="AO29">
        <v>37880.19</v>
      </c>
      <c r="AP29">
        <v>35033.089999999997</v>
      </c>
      <c r="AQ29">
        <v>23160.61</v>
      </c>
      <c r="AR29">
        <v>16057.71</v>
      </c>
      <c r="AS29">
        <v>27038.68</v>
      </c>
      <c r="AT29">
        <v>9086.1299999999992</v>
      </c>
      <c r="AV29">
        <v>18.05</v>
      </c>
      <c r="AW29">
        <v>16.79</v>
      </c>
      <c r="AX29">
        <v>9551.39</v>
      </c>
      <c r="AY29">
        <v>15.01</v>
      </c>
      <c r="AZ29">
        <v>11.04</v>
      </c>
      <c r="BA29">
        <v>51508.03</v>
      </c>
      <c r="BB29">
        <v>17.63</v>
      </c>
      <c r="BC29">
        <v>16.46</v>
      </c>
      <c r="BD29">
        <v>6417.64</v>
      </c>
      <c r="BE29">
        <v>5698.18</v>
      </c>
      <c r="BF29">
        <v>7941.97</v>
      </c>
      <c r="BG29">
        <v>37954.6</v>
      </c>
      <c r="BH29">
        <v>28.95</v>
      </c>
      <c r="BI29">
        <v>23.79</v>
      </c>
      <c r="BJ29">
        <v>23.87</v>
      </c>
    </row>
    <row r="30" spans="1:62" x14ac:dyDescent="0.2">
      <c r="A30" s="113" t="s">
        <v>50</v>
      </c>
      <c r="E30">
        <v>39.270000000000003</v>
      </c>
      <c r="F30">
        <v>59.99</v>
      </c>
      <c r="H30">
        <v>23.35</v>
      </c>
      <c r="I30">
        <v>16.690000000000001</v>
      </c>
      <c r="K30">
        <v>34.47</v>
      </c>
      <c r="L30">
        <v>33.369999999999997</v>
      </c>
      <c r="M30">
        <v>15.01</v>
      </c>
      <c r="N30">
        <v>16.11</v>
      </c>
      <c r="O30">
        <v>20.25</v>
      </c>
      <c r="P30">
        <v>14.4</v>
      </c>
      <c r="Q30">
        <v>77.599999999999994</v>
      </c>
      <c r="R30">
        <v>19.21</v>
      </c>
      <c r="S30">
        <v>814.03</v>
      </c>
      <c r="U30">
        <v>18.48</v>
      </c>
      <c r="V30">
        <v>18.34</v>
      </c>
      <c r="W30">
        <v>16.8</v>
      </c>
      <c r="X30">
        <v>15.01</v>
      </c>
      <c r="Y30">
        <v>168.11</v>
      </c>
      <c r="Z30">
        <v>15.07</v>
      </c>
      <c r="AA30">
        <v>1887.31</v>
      </c>
      <c r="AB30">
        <v>119.96</v>
      </c>
      <c r="AC30">
        <v>14.4</v>
      </c>
      <c r="AD30">
        <v>14.4</v>
      </c>
      <c r="AE30">
        <v>15.01</v>
      </c>
      <c r="AF30">
        <v>46275.11</v>
      </c>
      <c r="AG30">
        <v>30560.92</v>
      </c>
      <c r="AH30">
        <v>32646.73</v>
      </c>
      <c r="AJ30">
        <v>15605.53</v>
      </c>
      <c r="AL30">
        <v>7032.49</v>
      </c>
      <c r="AM30">
        <v>67804.37</v>
      </c>
      <c r="AN30">
        <v>44568.66</v>
      </c>
      <c r="AO30">
        <v>15589.33</v>
      </c>
      <c r="AP30">
        <v>73156.289999999994</v>
      </c>
      <c r="AQ30">
        <v>41953.33</v>
      </c>
      <c r="AR30">
        <v>43269.14</v>
      </c>
      <c r="AS30">
        <v>26082.29</v>
      </c>
      <c r="AT30">
        <v>34860.82</v>
      </c>
      <c r="AV30">
        <v>18.399999999999999</v>
      </c>
      <c r="AW30">
        <v>15.01</v>
      </c>
      <c r="AX30">
        <v>13158.81</v>
      </c>
      <c r="AY30">
        <v>38.79</v>
      </c>
      <c r="AZ30">
        <v>11.04</v>
      </c>
      <c r="BA30">
        <v>75704.94</v>
      </c>
      <c r="BB30">
        <v>27.56</v>
      </c>
      <c r="BC30">
        <v>15.48</v>
      </c>
      <c r="BD30">
        <v>6548.39</v>
      </c>
      <c r="BE30">
        <v>5698.18</v>
      </c>
      <c r="BF30">
        <v>8103.2</v>
      </c>
      <c r="BG30">
        <v>46672.36</v>
      </c>
      <c r="BH30">
        <v>33.130000000000003</v>
      </c>
      <c r="BI30">
        <v>62.43</v>
      </c>
      <c r="BJ30">
        <v>28.5</v>
      </c>
    </row>
    <row r="31" spans="1:62" x14ac:dyDescent="0.2">
      <c r="A31" s="113" t="s">
        <v>51</v>
      </c>
      <c r="E31">
        <v>66.22</v>
      </c>
      <c r="F31">
        <v>413.99</v>
      </c>
      <c r="H31">
        <v>178.74</v>
      </c>
      <c r="I31">
        <v>709.25</v>
      </c>
      <c r="K31">
        <v>182.65</v>
      </c>
      <c r="L31">
        <v>37.700000000000003</v>
      </c>
      <c r="M31">
        <v>22.58</v>
      </c>
      <c r="N31">
        <v>15.07</v>
      </c>
      <c r="O31">
        <v>89.67</v>
      </c>
      <c r="P31">
        <v>48.76</v>
      </c>
      <c r="Q31">
        <v>336.1</v>
      </c>
      <c r="R31">
        <v>18.170000000000002</v>
      </c>
      <c r="S31">
        <v>524.34</v>
      </c>
      <c r="U31">
        <v>25.85</v>
      </c>
      <c r="V31">
        <v>96.77</v>
      </c>
      <c r="W31">
        <v>18.54</v>
      </c>
      <c r="X31">
        <v>15.01</v>
      </c>
      <c r="Y31">
        <v>1412.98</v>
      </c>
      <c r="Z31">
        <v>197.37</v>
      </c>
      <c r="AA31">
        <v>6417.3</v>
      </c>
      <c r="AB31">
        <v>525.37</v>
      </c>
      <c r="AC31">
        <v>14.4</v>
      </c>
      <c r="AD31">
        <v>14.4</v>
      </c>
      <c r="AE31">
        <v>15.01</v>
      </c>
      <c r="AF31">
        <v>66.94</v>
      </c>
      <c r="AG31">
        <v>12207.05</v>
      </c>
      <c r="AH31">
        <v>47994.92</v>
      </c>
      <c r="AJ31">
        <v>3475.98</v>
      </c>
      <c r="AL31">
        <v>9979.16</v>
      </c>
      <c r="AM31">
        <v>24452.38</v>
      </c>
      <c r="AN31">
        <v>10132.89</v>
      </c>
      <c r="AO31">
        <v>4231.49</v>
      </c>
      <c r="AP31">
        <v>21227.07</v>
      </c>
      <c r="AQ31">
        <v>9736.93</v>
      </c>
      <c r="AR31">
        <v>7269.04</v>
      </c>
      <c r="AS31">
        <v>6487.77</v>
      </c>
      <c r="AT31">
        <v>18238.14</v>
      </c>
      <c r="AV31">
        <v>14.02</v>
      </c>
      <c r="AW31">
        <v>128.25</v>
      </c>
      <c r="AX31">
        <v>313.45999999999998</v>
      </c>
      <c r="AY31">
        <v>257.48</v>
      </c>
      <c r="AZ31">
        <v>11.04</v>
      </c>
      <c r="BA31">
        <v>20804.8</v>
      </c>
      <c r="BB31">
        <v>96.96</v>
      </c>
      <c r="BC31">
        <v>14.63</v>
      </c>
      <c r="BD31">
        <v>6521.83</v>
      </c>
      <c r="BE31">
        <v>5698.18</v>
      </c>
      <c r="BF31">
        <v>7941.96</v>
      </c>
      <c r="BG31">
        <v>16140.2</v>
      </c>
      <c r="BH31">
        <v>123.03</v>
      </c>
      <c r="BI31">
        <v>194.19</v>
      </c>
      <c r="BJ31">
        <v>653.38</v>
      </c>
    </row>
    <row r="32" spans="1:62" x14ac:dyDescent="0.2">
      <c r="A32" s="113" t="s">
        <v>52</v>
      </c>
      <c r="E32">
        <v>71.42</v>
      </c>
      <c r="F32">
        <v>468.65</v>
      </c>
      <c r="H32">
        <v>230.32</v>
      </c>
      <c r="I32">
        <v>1123.01</v>
      </c>
      <c r="K32">
        <v>173.41</v>
      </c>
      <c r="L32">
        <v>31.22</v>
      </c>
      <c r="M32">
        <v>43.11</v>
      </c>
      <c r="N32">
        <v>15.07</v>
      </c>
      <c r="O32">
        <v>171.97</v>
      </c>
      <c r="P32">
        <v>99.78</v>
      </c>
      <c r="Q32">
        <v>349.91</v>
      </c>
      <c r="R32">
        <v>19.21</v>
      </c>
      <c r="S32">
        <v>637.27</v>
      </c>
      <c r="U32">
        <v>25.44</v>
      </c>
      <c r="V32">
        <v>259.06</v>
      </c>
      <c r="W32">
        <v>19.579999999999998</v>
      </c>
      <c r="X32">
        <v>15.01</v>
      </c>
      <c r="Y32">
        <v>1252.49</v>
      </c>
      <c r="Z32">
        <v>139.99</v>
      </c>
      <c r="AA32">
        <v>7373.04</v>
      </c>
      <c r="AB32">
        <v>596.46</v>
      </c>
      <c r="AC32">
        <v>15.84</v>
      </c>
      <c r="AD32">
        <v>14.4</v>
      </c>
      <c r="AE32">
        <v>15.01</v>
      </c>
      <c r="AF32">
        <v>15.12</v>
      </c>
      <c r="AG32">
        <v>623.54</v>
      </c>
      <c r="AH32">
        <v>8977.0400000000009</v>
      </c>
      <c r="AJ32">
        <v>4627.25</v>
      </c>
      <c r="AL32">
        <v>-9797.94</v>
      </c>
      <c r="AM32">
        <v>4204.1499999999996</v>
      </c>
      <c r="AN32">
        <v>2679.27</v>
      </c>
      <c r="AO32">
        <v>14.4</v>
      </c>
      <c r="AP32">
        <v>6037.9</v>
      </c>
      <c r="AQ32">
        <v>82.8</v>
      </c>
      <c r="AR32">
        <v>0</v>
      </c>
      <c r="AS32">
        <v>3777.62</v>
      </c>
      <c r="AT32">
        <v>2728.5</v>
      </c>
      <c r="AV32">
        <v>12.62</v>
      </c>
      <c r="AW32">
        <v>242.63</v>
      </c>
      <c r="AY32">
        <v>336.87</v>
      </c>
      <c r="AZ32">
        <v>11.04</v>
      </c>
      <c r="BA32">
        <v>771.95</v>
      </c>
      <c r="BB32">
        <v>99.33</v>
      </c>
      <c r="BC32">
        <v>17.79</v>
      </c>
      <c r="BD32">
        <v>6704.15</v>
      </c>
      <c r="BE32">
        <v>5857.46</v>
      </c>
      <c r="BF32">
        <v>8163.41</v>
      </c>
      <c r="BG32">
        <v>0</v>
      </c>
      <c r="BH32">
        <v>465.06</v>
      </c>
      <c r="BI32">
        <v>307.67</v>
      </c>
      <c r="BJ32">
        <v>1315.04</v>
      </c>
    </row>
    <row r="33" spans="1:62" ht="13.5" thickBot="1" x14ac:dyDescent="0.25">
      <c r="A33" s="106" t="s">
        <v>58</v>
      </c>
      <c r="B33" s="116">
        <f>SUM(B21:B32)</f>
        <v>0</v>
      </c>
      <c r="C33" s="116">
        <f>SUM(C21:C32)</f>
        <v>90.73</v>
      </c>
      <c r="D33" s="116"/>
      <c r="E33" s="116">
        <f t="shared" ref="E33:BF33" si="6">SUM(E21:E32)</f>
        <v>443.40000000000003</v>
      </c>
      <c r="F33" s="116">
        <f t="shared" si="6"/>
        <v>1634.6599999999999</v>
      </c>
      <c r="G33" s="117">
        <f t="shared" si="6"/>
        <v>0</v>
      </c>
      <c r="H33" s="116">
        <f t="shared" si="6"/>
        <v>1495.78</v>
      </c>
      <c r="I33" s="117">
        <f t="shared" si="6"/>
        <v>5252.6900000000005</v>
      </c>
      <c r="J33" s="118">
        <f t="shared" si="6"/>
        <v>0</v>
      </c>
      <c r="K33" s="117">
        <f t="shared" si="6"/>
        <v>1030.1000000000001</v>
      </c>
      <c r="L33" s="117">
        <f t="shared" si="6"/>
        <v>410.13</v>
      </c>
      <c r="M33" s="117">
        <f t="shared" si="6"/>
        <v>304.48</v>
      </c>
      <c r="N33" s="117">
        <f t="shared" si="6"/>
        <v>192.17000000000002</v>
      </c>
      <c r="O33" s="119">
        <f t="shared" si="6"/>
        <v>938.49000000000012</v>
      </c>
      <c r="P33" s="117">
        <f t="shared" si="6"/>
        <v>856.94999999999993</v>
      </c>
      <c r="Q33" s="119">
        <f t="shared" si="6"/>
        <v>2121.3499999999995</v>
      </c>
      <c r="R33" s="119">
        <f t="shared" si="6"/>
        <v>552.30000000000007</v>
      </c>
      <c r="S33" s="119">
        <f t="shared" si="6"/>
        <v>3755.2900000000004</v>
      </c>
      <c r="T33" s="117">
        <f t="shared" si="6"/>
        <v>0</v>
      </c>
      <c r="U33" s="119">
        <f t="shared" si="6"/>
        <v>278.78000000000003</v>
      </c>
      <c r="V33" s="119">
        <f t="shared" si="6"/>
        <v>1488.5499999999997</v>
      </c>
      <c r="W33" s="117">
        <f t="shared" si="6"/>
        <v>216.73000000000002</v>
      </c>
      <c r="X33" s="119">
        <f t="shared" si="6"/>
        <v>190.27</v>
      </c>
      <c r="Y33" s="119">
        <f t="shared" si="6"/>
        <v>6254.75</v>
      </c>
      <c r="Z33" s="119">
        <f t="shared" si="6"/>
        <v>1217.0500000000002</v>
      </c>
      <c r="AA33" s="119">
        <f t="shared" si="6"/>
        <v>29429.83</v>
      </c>
      <c r="AB33" s="119">
        <f t="shared" si="6"/>
        <v>4671.670000000001</v>
      </c>
      <c r="AC33" s="119">
        <f>SUM(AC21:AC32)</f>
        <v>183.96</v>
      </c>
      <c r="AD33" s="119">
        <f>SUM(AD21:AD32)</f>
        <v>194.74000000000004</v>
      </c>
      <c r="AE33" s="119"/>
      <c r="AF33" s="119">
        <f>SUM(AF21:AF32)</f>
        <v>79179.97</v>
      </c>
      <c r="AG33" s="119">
        <f>SUM(AG21:AG32)</f>
        <v>71716.26999999999</v>
      </c>
      <c r="AH33" s="119">
        <f>SUM(AH21:AH32)</f>
        <v>103391.59</v>
      </c>
      <c r="AI33" s="119">
        <f>SUM(AI21:AI32)</f>
        <v>0</v>
      </c>
      <c r="AJ33" s="119">
        <f>SUM(AJ21:AJ32)</f>
        <v>27598.080000000002</v>
      </c>
      <c r="AK33" s="119">
        <f t="shared" si="6"/>
        <v>0</v>
      </c>
      <c r="AL33" s="119">
        <f t="shared" si="6"/>
        <v>222893.47</v>
      </c>
      <c r="AM33" s="117">
        <f t="shared" si="6"/>
        <v>152783.88999999998</v>
      </c>
      <c r="AN33" s="117">
        <f t="shared" si="6"/>
        <v>74441.220000000016</v>
      </c>
      <c r="AO33" s="119">
        <f t="shared" si="6"/>
        <v>62402.710000000006</v>
      </c>
      <c r="AP33" s="119">
        <f t="shared" si="6"/>
        <v>136370.53</v>
      </c>
      <c r="AQ33" s="119">
        <f t="shared" si="6"/>
        <v>80221.89</v>
      </c>
      <c r="AR33" s="119">
        <f t="shared" si="6"/>
        <v>66598.080000000002</v>
      </c>
      <c r="AS33" s="119">
        <f t="shared" si="6"/>
        <v>65791.95</v>
      </c>
      <c r="AT33" s="119">
        <f t="shared" si="6"/>
        <v>65781.58</v>
      </c>
      <c r="AU33" s="119">
        <f t="shared" si="6"/>
        <v>0</v>
      </c>
      <c r="AV33" s="119">
        <f t="shared" si="6"/>
        <v>190.27000000000004</v>
      </c>
      <c r="AW33" s="119">
        <f t="shared" si="6"/>
        <v>1267.6500000000001</v>
      </c>
      <c r="AX33" s="119">
        <f>SUM(AX21:AX32)</f>
        <v>23026.579999999998</v>
      </c>
      <c r="AY33" s="119">
        <f t="shared" si="6"/>
        <v>1737.9</v>
      </c>
      <c r="AZ33" s="119">
        <f t="shared" si="6"/>
        <v>138.07999999999996</v>
      </c>
      <c r="BA33" s="119">
        <f t="shared" si="6"/>
        <v>148800.59</v>
      </c>
      <c r="BB33" s="119">
        <f t="shared" si="6"/>
        <v>646.41</v>
      </c>
      <c r="BC33" s="119">
        <f t="shared" si="6"/>
        <v>197.09</v>
      </c>
      <c r="BD33" s="119">
        <f t="shared" si="6"/>
        <v>80072.89</v>
      </c>
      <c r="BE33" s="119">
        <f t="shared" si="6"/>
        <v>70792.240000000005</v>
      </c>
      <c r="BF33" s="119">
        <f t="shared" si="6"/>
        <v>98742.63</v>
      </c>
      <c r="BG33" s="119">
        <f>SUM(BG21:BG32)</f>
        <v>101911.15</v>
      </c>
      <c r="BH33" s="119">
        <f>SUM(BH21:BH32)</f>
        <v>2264.3200000000002</v>
      </c>
      <c r="BI33" s="119">
        <f>SUM(BI21:BI32)</f>
        <v>1803.4400000000003</v>
      </c>
      <c r="BJ33" s="119">
        <f>SUM(BJ21:BJ32)</f>
        <v>2392.15</v>
      </c>
    </row>
    <row r="34" spans="1:62" ht="13.5" thickTop="1" x14ac:dyDescent="0.2">
      <c r="A34" s="120"/>
      <c r="B34" s="120" t="str">
        <f t="shared" ref="B34:AY34" si="7">IF(B16=0,"",(B33/B16))</f>
        <v/>
      </c>
      <c r="C34" s="120">
        <f t="shared" si="7"/>
        <v>3.6292</v>
      </c>
      <c r="D34" s="120" t="str">
        <f t="shared" si="7"/>
        <v/>
      </c>
      <c r="E34" s="120">
        <f t="shared" si="7"/>
        <v>1.4121019108280255</v>
      </c>
      <c r="F34" s="120">
        <f t="shared" si="7"/>
        <v>0.90262838210933183</v>
      </c>
      <c r="G34" s="120" t="str">
        <f t="shared" si="7"/>
        <v/>
      </c>
      <c r="H34" s="120">
        <f t="shared" si="7"/>
        <v>0.83191323692992214</v>
      </c>
      <c r="I34" s="120">
        <f t="shared" si="7"/>
        <v>0.751565316926599</v>
      </c>
      <c r="J34" s="120" t="str">
        <f t="shared" si="7"/>
        <v/>
      </c>
      <c r="K34" s="120">
        <f t="shared" si="7"/>
        <v>0.919732142857143</v>
      </c>
      <c r="L34" s="120">
        <f t="shared" si="7"/>
        <v>1.5774230769230768</v>
      </c>
      <c r="M34" s="120">
        <f t="shared" si="7"/>
        <v>1.9270886075949367</v>
      </c>
      <c r="N34" s="120">
        <f t="shared" si="7"/>
        <v>64.056666666666672</v>
      </c>
      <c r="O34" s="120">
        <f t="shared" si="7"/>
        <v>0.82035839160839175</v>
      </c>
      <c r="P34" s="120">
        <f t="shared" si="7"/>
        <v>1.1968575418994412</v>
      </c>
      <c r="Q34" s="120">
        <f t="shared" si="7"/>
        <v>0.75358792184724666</v>
      </c>
      <c r="R34" s="120">
        <f t="shared" si="7"/>
        <v>0.90838815789473693</v>
      </c>
      <c r="S34" s="120">
        <f t="shared" si="7"/>
        <v>0.8515396825396826</v>
      </c>
      <c r="T34" s="120" t="str">
        <f t="shared" si="7"/>
        <v/>
      </c>
      <c r="U34" s="120">
        <f t="shared" si="7"/>
        <v>2.3827350427350429</v>
      </c>
      <c r="V34" s="120">
        <f t="shared" si="7"/>
        <v>0.78592925026399141</v>
      </c>
      <c r="W34" s="120">
        <f t="shared" si="7"/>
        <v>4.5152083333333337</v>
      </c>
      <c r="X34" s="120" t="str">
        <f t="shared" si="7"/>
        <v/>
      </c>
      <c r="Y34" s="120">
        <f t="shared" si="7"/>
        <v>0.75971699259079317</v>
      </c>
      <c r="Z34" s="120">
        <f t="shared" si="7"/>
        <v>0.77866282789507368</v>
      </c>
      <c r="AA34" s="120">
        <f t="shared" si="7"/>
        <v>0.78067351053106271</v>
      </c>
      <c r="AB34" s="120">
        <f t="shared" si="7"/>
        <v>0.71960412815773278</v>
      </c>
      <c r="AC34" s="120" t="str">
        <f t="shared" si="7"/>
        <v/>
      </c>
      <c r="AD34" s="120">
        <f t="shared" si="7"/>
        <v>8.4669565217391316</v>
      </c>
      <c r="AE34" s="120" t="str">
        <f t="shared" si="7"/>
        <v/>
      </c>
      <c r="AF34" s="120">
        <f t="shared" si="7"/>
        <v>0.83033557398882119</v>
      </c>
      <c r="AG34" s="120">
        <f t="shared" si="7"/>
        <v>6.3662911673324443</v>
      </c>
      <c r="AH34" s="120">
        <f t="shared" si="7"/>
        <v>1.1846508776754205</v>
      </c>
      <c r="AI34" s="120" t="str">
        <f t="shared" si="7"/>
        <v/>
      </c>
      <c r="AJ34" s="120">
        <f t="shared" si="7"/>
        <v>0.81871547657895527</v>
      </c>
      <c r="AK34" s="120" t="str">
        <f t="shared" si="7"/>
        <v/>
      </c>
      <c r="AL34" s="120">
        <f t="shared" si="7"/>
        <v>4.2125315618385244</v>
      </c>
      <c r="AM34" s="120">
        <f t="shared" si="7"/>
        <v>0.76756924174449503</v>
      </c>
      <c r="AN34" s="120">
        <f t="shared" si="7"/>
        <v>2.0095351473922909</v>
      </c>
      <c r="AO34" s="120">
        <f t="shared" si="7"/>
        <v>0.79595293367346942</v>
      </c>
      <c r="AP34" s="120">
        <f t="shared" si="7"/>
        <v>0.73678752809474413</v>
      </c>
      <c r="AQ34" s="120">
        <f t="shared" si="7"/>
        <v>0.73018604651162788</v>
      </c>
      <c r="AR34" s="120">
        <f t="shared" si="7"/>
        <v>0.83444738193983292</v>
      </c>
      <c r="AS34" s="120">
        <f t="shared" si="7"/>
        <v>0.82134189730721696</v>
      </c>
      <c r="AT34" s="120">
        <f t="shared" si="7"/>
        <v>0.68912264160826342</v>
      </c>
      <c r="AU34" s="120" t="str">
        <f t="shared" si="7"/>
        <v/>
      </c>
      <c r="AV34" s="120">
        <f t="shared" si="7"/>
        <v>4.8787179487179495</v>
      </c>
      <c r="AW34" s="120">
        <f t="shared" si="7"/>
        <v>0.85191532258064517</v>
      </c>
      <c r="AX34" s="120">
        <f t="shared" si="7"/>
        <v>0.6113034936816395</v>
      </c>
      <c r="AY34" s="120">
        <f t="shared" si="7"/>
        <v>0.82599809885931563</v>
      </c>
      <c r="AZ34" s="120"/>
      <c r="BA34" s="120"/>
      <c r="BB34" s="120"/>
      <c r="BC34" s="120"/>
      <c r="BD34" s="1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4"/>
  <sheetViews>
    <sheetView topLeftCell="AW1" workbookViewId="0">
      <selection activeCell="BC1" sqref="A1:IV1"/>
    </sheetView>
  </sheetViews>
  <sheetFormatPr defaultRowHeight="12.75" x14ac:dyDescent="0.2"/>
  <cols>
    <col min="5" max="5" width="24" customWidth="1"/>
    <col min="6" max="6" width="21.28515625" customWidth="1"/>
    <col min="8" max="8" width="26.28515625" customWidth="1"/>
    <col min="9" max="9" width="21.7109375" customWidth="1"/>
    <col min="11" max="11" width="23.5703125" customWidth="1"/>
    <col min="12" max="12" width="22" customWidth="1"/>
    <col min="13" max="13" width="22.140625" customWidth="1"/>
    <col min="14" max="14" width="21.140625" customWidth="1"/>
    <col min="15" max="15" width="23.42578125" customWidth="1"/>
    <col min="16" max="16" width="27.42578125" customWidth="1"/>
    <col min="17" max="17" width="20.85546875" customWidth="1"/>
    <col min="18" max="18" width="21.85546875" customWidth="1"/>
    <col min="19" max="19" width="20.140625" customWidth="1"/>
    <col min="21" max="21" width="20.7109375" customWidth="1"/>
    <col min="22" max="22" width="19.42578125" customWidth="1"/>
    <col min="23" max="23" width="23.7109375" customWidth="1"/>
    <col min="24" max="24" width="20.7109375" customWidth="1"/>
    <col min="25" max="25" width="23.42578125" customWidth="1"/>
    <col min="26" max="26" width="24.140625" customWidth="1"/>
    <col min="27" max="27" width="21.28515625" customWidth="1"/>
    <col min="28" max="28" width="22.5703125" customWidth="1"/>
    <col min="29" max="29" width="18.7109375" customWidth="1"/>
    <col min="30" max="30" width="23.5703125" customWidth="1"/>
    <col min="31" max="31" width="21.7109375" customWidth="1"/>
    <col min="32" max="32" width="22.5703125" customWidth="1"/>
    <col min="33" max="33" width="24.42578125" customWidth="1"/>
    <col min="34" max="34" width="19.5703125" customWidth="1"/>
    <col min="36" max="36" width="27.7109375" customWidth="1"/>
    <col min="38" max="38" width="19.85546875" customWidth="1"/>
    <col min="39" max="39" width="19.28515625" customWidth="1"/>
    <col min="40" max="40" width="26.85546875" customWidth="1"/>
    <col min="41" max="41" width="20" customWidth="1"/>
    <col min="42" max="42" width="27.140625" customWidth="1"/>
    <col min="43" max="43" width="19.28515625" customWidth="1"/>
    <col min="44" max="44" width="26.28515625" customWidth="1"/>
    <col min="45" max="45" width="21.85546875" customWidth="1"/>
    <col min="46" max="46" width="19.85546875" customWidth="1"/>
    <col min="48" max="49" width="21.140625" customWidth="1"/>
    <col min="50" max="50" width="19.42578125" customWidth="1"/>
    <col min="51" max="51" width="21.28515625" customWidth="1"/>
    <col min="52" max="52" width="22.42578125" customWidth="1"/>
    <col min="53" max="53" width="24" customWidth="1"/>
    <col min="54" max="54" width="24.7109375" customWidth="1"/>
    <col min="55" max="55" width="22.7109375" customWidth="1"/>
    <col min="56" max="56" width="21" customWidth="1"/>
    <col min="57" max="57" width="25.42578125" customWidth="1"/>
    <col min="58" max="58" width="21.7109375" customWidth="1"/>
    <col min="59" max="59" width="11.5703125" customWidth="1"/>
    <col min="60" max="60" width="29.5703125" customWidth="1"/>
    <col min="61" max="61" width="30.42578125" customWidth="1"/>
    <col min="62" max="62" width="25.42578125" customWidth="1"/>
    <col min="63" max="63" width="14.5703125" customWidth="1"/>
  </cols>
  <sheetData>
    <row r="1" spans="1:63" x14ac:dyDescent="0.2">
      <c r="A1" s="1" t="s">
        <v>64</v>
      </c>
      <c r="B1" s="47">
        <v>594386</v>
      </c>
      <c r="C1" s="26">
        <v>1588956</v>
      </c>
      <c r="D1" s="26"/>
      <c r="E1" s="48" t="s">
        <v>121</v>
      </c>
      <c r="F1" s="48" t="s">
        <v>118</v>
      </c>
      <c r="G1" s="48">
        <v>105744</v>
      </c>
      <c r="H1" s="49" t="s">
        <v>127</v>
      </c>
      <c r="I1" s="26" t="s">
        <v>126</v>
      </c>
      <c r="J1" s="48">
        <v>263754</v>
      </c>
      <c r="K1" s="48" t="s">
        <v>116</v>
      </c>
      <c r="L1" s="26" t="s">
        <v>117</v>
      </c>
      <c r="M1" s="26" t="s">
        <v>115</v>
      </c>
      <c r="N1" s="26" t="s">
        <v>103</v>
      </c>
      <c r="O1" s="26" t="s">
        <v>105</v>
      </c>
      <c r="P1" s="26" t="s">
        <v>112</v>
      </c>
      <c r="Q1" s="26" t="s">
        <v>111</v>
      </c>
      <c r="R1" s="26" t="s">
        <v>109</v>
      </c>
      <c r="S1" s="26" t="s">
        <v>104</v>
      </c>
      <c r="T1" s="26">
        <v>647856</v>
      </c>
      <c r="U1" s="26" t="s">
        <v>101</v>
      </c>
      <c r="V1" s="26" t="s">
        <v>138</v>
      </c>
      <c r="W1" s="26" t="s">
        <v>129</v>
      </c>
      <c r="X1" s="26" t="s">
        <v>123</v>
      </c>
      <c r="Y1" s="26" t="s">
        <v>107</v>
      </c>
      <c r="Z1" s="26" t="s">
        <v>108</v>
      </c>
      <c r="AA1" s="26" t="s">
        <v>110</v>
      </c>
      <c r="AB1" s="26" t="s">
        <v>106</v>
      </c>
      <c r="AC1" s="50" t="s">
        <v>113</v>
      </c>
      <c r="AD1" s="50" t="s">
        <v>119</v>
      </c>
      <c r="AE1" s="26" t="s">
        <v>120</v>
      </c>
      <c r="AF1" s="50" t="s">
        <v>128</v>
      </c>
      <c r="AG1" s="51" t="s">
        <v>125</v>
      </c>
      <c r="AH1" s="50" t="s">
        <v>134</v>
      </c>
      <c r="AI1" s="52">
        <v>749339</v>
      </c>
      <c r="AJ1" s="53" t="s">
        <v>130</v>
      </c>
      <c r="AK1" s="54">
        <v>765933</v>
      </c>
      <c r="AL1" s="53" t="s">
        <v>136</v>
      </c>
      <c r="AM1" s="53" t="s">
        <v>137</v>
      </c>
      <c r="AN1" s="53" t="s">
        <v>140</v>
      </c>
      <c r="AO1" s="53" t="s">
        <v>131</v>
      </c>
      <c r="AP1" s="53" t="s">
        <v>132</v>
      </c>
      <c r="AQ1" s="53" t="s">
        <v>133</v>
      </c>
      <c r="AR1" s="53" t="s">
        <v>139</v>
      </c>
      <c r="AS1" s="53" t="s">
        <v>144</v>
      </c>
      <c r="AT1" s="53" t="s">
        <v>146</v>
      </c>
      <c r="AU1" s="48">
        <v>1060882</v>
      </c>
      <c r="AV1" s="26" t="s">
        <v>95</v>
      </c>
      <c r="AW1" s="7" t="s">
        <v>122</v>
      </c>
      <c r="AX1" s="44" t="s">
        <v>135</v>
      </c>
      <c r="AY1" s="7" t="s">
        <v>93</v>
      </c>
      <c r="AZ1" s="7" t="s">
        <v>94</v>
      </c>
      <c r="BA1" s="7" t="s">
        <v>145</v>
      </c>
      <c r="BB1" s="7" t="s">
        <v>124</v>
      </c>
      <c r="BC1" s="1" t="s">
        <v>114</v>
      </c>
      <c r="BD1" s="1" t="s">
        <v>97</v>
      </c>
      <c r="BE1" s="7" t="s">
        <v>142</v>
      </c>
      <c r="BF1" s="7" t="s">
        <v>143</v>
      </c>
      <c r="BG1" s="7" t="s">
        <v>83</v>
      </c>
      <c r="BH1" s="7" t="s">
        <v>102</v>
      </c>
      <c r="BI1" s="7" t="s">
        <v>100</v>
      </c>
      <c r="BJ1" s="7" t="s">
        <v>96</v>
      </c>
      <c r="BK1" s="7" t="s">
        <v>91</v>
      </c>
    </row>
    <row r="2" spans="1:63" ht="51" x14ac:dyDescent="0.2">
      <c r="A2" s="99">
        <v>2022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80</v>
      </c>
      <c r="BE2" s="105" t="s">
        <v>99</v>
      </c>
      <c r="BF2" s="105" t="s">
        <v>98</v>
      </c>
      <c r="BG2" s="105" t="s">
        <v>84</v>
      </c>
      <c r="BH2" s="105" t="s">
        <v>85</v>
      </c>
      <c r="BI2" s="105" t="s">
        <v>88</v>
      </c>
      <c r="BJ2" s="105" t="s">
        <v>90</v>
      </c>
      <c r="BK2" s="105" t="s">
        <v>84</v>
      </c>
    </row>
    <row r="3" spans="1:63" x14ac:dyDescent="0.2">
      <c r="A3" s="26" t="s">
        <v>59</v>
      </c>
      <c r="E3">
        <v>107</v>
      </c>
      <c r="F3">
        <v>382</v>
      </c>
      <c r="H3">
        <v>406</v>
      </c>
      <c r="I3">
        <v>1458</v>
      </c>
      <c r="K3">
        <v>333</v>
      </c>
      <c r="L3">
        <v>32</v>
      </c>
      <c r="M3">
        <v>77</v>
      </c>
      <c r="N3">
        <v>0</v>
      </c>
      <c r="O3">
        <v>233</v>
      </c>
      <c r="P3">
        <v>0</v>
      </c>
      <c r="Q3">
        <v>633</v>
      </c>
      <c r="R3">
        <v>3</v>
      </c>
      <c r="S3">
        <v>948</v>
      </c>
      <c r="U3">
        <v>12</v>
      </c>
      <c r="V3">
        <v>506</v>
      </c>
      <c r="W3">
        <v>6</v>
      </c>
      <c r="X3">
        <v>0</v>
      </c>
      <c r="Y3">
        <v>1940</v>
      </c>
      <c r="Z3">
        <v>418</v>
      </c>
      <c r="AA3">
        <v>9534</v>
      </c>
      <c r="AB3">
        <v>1312</v>
      </c>
      <c r="AC3">
        <v>0</v>
      </c>
      <c r="AD3">
        <v>0</v>
      </c>
      <c r="AE3">
        <v>0</v>
      </c>
      <c r="AF3">
        <v>137</v>
      </c>
      <c r="AG3">
        <v>0</v>
      </c>
      <c r="AH3">
        <v>55</v>
      </c>
      <c r="AJ3">
        <v>0</v>
      </c>
      <c r="AL3">
        <v>0</v>
      </c>
      <c r="AM3">
        <v>581</v>
      </c>
      <c r="AN3">
        <v>960</v>
      </c>
      <c r="AO3">
        <v>0</v>
      </c>
      <c r="AP3">
        <v>579</v>
      </c>
      <c r="AQ3">
        <v>109</v>
      </c>
      <c r="AR3">
        <v>0</v>
      </c>
      <c r="AS3">
        <v>690</v>
      </c>
      <c r="AT3">
        <v>4</v>
      </c>
      <c r="AV3">
        <v>2</v>
      </c>
      <c r="AW3">
        <v>385</v>
      </c>
      <c r="AX3">
        <v>0</v>
      </c>
      <c r="AY3">
        <v>552</v>
      </c>
      <c r="AZ3">
        <v>0</v>
      </c>
      <c r="BA3">
        <v>133</v>
      </c>
      <c r="BB3">
        <v>165</v>
      </c>
      <c r="BC3">
        <v>0</v>
      </c>
      <c r="BD3">
        <v>45165</v>
      </c>
      <c r="BE3">
        <v>38917</v>
      </c>
      <c r="BF3">
        <v>80927</v>
      </c>
      <c r="BG3">
        <v>0</v>
      </c>
      <c r="BH3">
        <v>2334</v>
      </c>
      <c r="BI3">
        <v>418</v>
      </c>
      <c r="BJ3">
        <v>0</v>
      </c>
    </row>
    <row r="4" spans="1:63" x14ac:dyDescent="0.2">
      <c r="A4" s="25" t="s">
        <v>42</v>
      </c>
      <c r="E4">
        <v>97</v>
      </c>
      <c r="F4">
        <v>321</v>
      </c>
      <c r="H4">
        <v>533</v>
      </c>
      <c r="I4">
        <v>1074</v>
      </c>
      <c r="K4">
        <v>302</v>
      </c>
      <c r="L4">
        <v>62</v>
      </c>
      <c r="M4">
        <v>69</v>
      </c>
      <c r="N4">
        <v>0</v>
      </c>
      <c r="O4">
        <v>281</v>
      </c>
      <c r="P4">
        <v>125</v>
      </c>
      <c r="Q4">
        <v>591</v>
      </c>
      <c r="R4">
        <v>8</v>
      </c>
      <c r="S4">
        <v>701</v>
      </c>
      <c r="U4">
        <v>11</v>
      </c>
      <c r="V4">
        <v>321</v>
      </c>
      <c r="W4">
        <v>5</v>
      </c>
      <c r="X4">
        <v>0</v>
      </c>
      <c r="Y4">
        <v>1805</v>
      </c>
      <c r="Z4">
        <v>357</v>
      </c>
      <c r="AA4">
        <v>8255</v>
      </c>
      <c r="AB4">
        <v>951</v>
      </c>
      <c r="AC4">
        <v>0</v>
      </c>
      <c r="AD4">
        <v>19</v>
      </c>
      <c r="AE4">
        <v>0</v>
      </c>
      <c r="AF4">
        <v>0</v>
      </c>
      <c r="AG4">
        <v>0</v>
      </c>
      <c r="AH4">
        <v>65</v>
      </c>
      <c r="AJ4">
        <v>0</v>
      </c>
      <c r="AL4">
        <v>0</v>
      </c>
      <c r="AM4">
        <v>315</v>
      </c>
      <c r="AN4">
        <v>460</v>
      </c>
      <c r="AO4">
        <v>0</v>
      </c>
      <c r="AP4">
        <v>0</v>
      </c>
      <c r="AQ4">
        <v>124</v>
      </c>
      <c r="AR4">
        <v>0</v>
      </c>
      <c r="AS4">
        <v>790</v>
      </c>
      <c r="AT4">
        <v>0</v>
      </c>
      <c r="AV4">
        <v>1</v>
      </c>
      <c r="AW4">
        <v>481</v>
      </c>
      <c r="AX4">
        <v>0</v>
      </c>
      <c r="AY4">
        <v>485</v>
      </c>
      <c r="AZ4">
        <v>0</v>
      </c>
      <c r="BA4">
        <v>9</v>
      </c>
      <c r="BB4">
        <v>168</v>
      </c>
      <c r="BC4">
        <v>0</v>
      </c>
      <c r="BD4">
        <v>44425</v>
      </c>
      <c r="BE4">
        <v>30011</v>
      </c>
      <c r="BF4">
        <v>71874</v>
      </c>
      <c r="BG4">
        <v>0</v>
      </c>
      <c r="BH4">
        <v>2005</v>
      </c>
      <c r="BI4">
        <v>499</v>
      </c>
      <c r="BJ4">
        <v>1433</v>
      </c>
    </row>
    <row r="5" spans="1:63" x14ac:dyDescent="0.2">
      <c r="A5" s="25" t="s">
        <v>43</v>
      </c>
      <c r="E5">
        <v>55</v>
      </c>
      <c r="F5">
        <v>164</v>
      </c>
      <c r="H5">
        <v>306</v>
      </c>
      <c r="I5">
        <v>914</v>
      </c>
      <c r="K5">
        <v>159</v>
      </c>
      <c r="L5">
        <v>46</v>
      </c>
      <c r="M5">
        <v>31</v>
      </c>
      <c r="N5">
        <v>1</v>
      </c>
      <c r="O5">
        <v>131</v>
      </c>
      <c r="P5">
        <v>76</v>
      </c>
      <c r="Q5">
        <v>464</v>
      </c>
      <c r="R5">
        <v>2</v>
      </c>
      <c r="S5">
        <v>273</v>
      </c>
      <c r="U5">
        <v>10</v>
      </c>
      <c r="V5">
        <v>231</v>
      </c>
      <c r="W5">
        <v>6</v>
      </c>
      <c r="X5">
        <v>0</v>
      </c>
      <c r="Y5">
        <v>1164</v>
      </c>
      <c r="Z5">
        <v>139</v>
      </c>
      <c r="AA5">
        <v>5682</v>
      </c>
      <c r="AB5">
        <v>478</v>
      </c>
      <c r="AC5">
        <v>0</v>
      </c>
      <c r="AD5">
        <v>0</v>
      </c>
      <c r="AE5">
        <v>0</v>
      </c>
      <c r="AF5">
        <v>0</v>
      </c>
      <c r="AG5">
        <v>0</v>
      </c>
      <c r="AH5">
        <v>50</v>
      </c>
      <c r="AJ5">
        <v>0</v>
      </c>
      <c r="AL5">
        <v>0</v>
      </c>
      <c r="AM5">
        <v>1019</v>
      </c>
      <c r="AN5">
        <v>310</v>
      </c>
      <c r="AO5">
        <v>0</v>
      </c>
      <c r="AP5">
        <v>0</v>
      </c>
      <c r="AQ5">
        <v>93</v>
      </c>
      <c r="AR5">
        <v>0</v>
      </c>
      <c r="AS5">
        <v>140</v>
      </c>
      <c r="AT5">
        <v>0</v>
      </c>
      <c r="AV5">
        <v>2</v>
      </c>
      <c r="AW5">
        <v>314</v>
      </c>
      <c r="AX5">
        <v>0</v>
      </c>
      <c r="AY5">
        <v>228</v>
      </c>
      <c r="AZ5">
        <v>0</v>
      </c>
      <c r="BA5">
        <v>0</v>
      </c>
      <c r="BB5">
        <v>106</v>
      </c>
      <c r="BC5">
        <v>0</v>
      </c>
      <c r="BD5">
        <v>48219</v>
      </c>
      <c r="BE5">
        <v>31407</v>
      </c>
      <c r="BF5">
        <v>79385</v>
      </c>
      <c r="BG5">
        <v>0</v>
      </c>
      <c r="BH5">
        <v>1463</v>
      </c>
      <c r="BI5">
        <v>261</v>
      </c>
      <c r="BJ5">
        <v>782</v>
      </c>
    </row>
    <row r="6" spans="1:63" x14ac:dyDescent="0.2">
      <c r="A6" s="25" t="s">
        <v>44</v>
      </c>
      <c r="E6">
        <v>28</v>
      </c>
      <c r="F6">
        <v>54</v>
      </c>
      <c r="H6">
        <v>10</v>
      </c>
      <c r="I6">
        <v>917</v>
      </c>
      <c r="K6">
        <v>85</v>
      </c>
      <c r="L6">
        <v>8</v>
      </c>
      <c r="M6">
        <v>6</v>
      </c>
      <c r="N6">
        <v>0</v>
      </c>
      <c r="O6">
        <v>80</v>
      </c>
      <c r="P6">
        <v>47</v>
      </c>
      <c r="Q6">
        <v>316</v>
      </c>
      <c r="R6">
        <v>3</v>
      </c>
      <c r="S6">
        <v>112</v>
      </c>
      <c r="U6">
        <v>8</v>
      </c>
      <c r="V6">
        <v>90</v>
      </c>
      <c r="W6">
        <v>4</v>
      </c>
      <c r="X6">
        <v>0</v>
      </c>
      <c r="Y6">
        <v>509</v>
      </c>
      <c r="Z6">
        <v>34</v>
      </c>
      <c r="AA6">
        <v>2906</v>
      </c>
      <c r="AB6">
        <v>466</v>
      </c>
      <c r="AC6">
        <v>0</v>
      </c>
      <c r="AD6">
        <v>0</v>
      </c>
      <c r="AE6">
        <v>0</v>
      </c>
      <c r="AF6">
        <v>0</v>
      </c>
      <c r="AG6">
        <v>0</v>
      </c>
      <c r="AH6">
        <v>52</v>
      </c>
      <c r="AJ6">
        <v>0</v>
      </c>
      <c r="AL6">
        <v>0</v>
      </c>
      <c r="AM6">
        <v>1139</v>
      </c>
      <c r="AN6">
        <v>7</v>
      </c>
      <c r="AO6">
        <v>0</v>
      </c>
      <c r="AP6">
        <v>0</v>
      </c>
      <c r="AQ6">
        <v>39</v>
      </c>
      <c r="AR6">
        <v>0</v>
      </c>
      <c r="AS6">
        <v>5</v>
      </c>
      <c r="AT6">
        <v>0</v>
      </c>
      <c r="AV6">
        <v>1</v>
      </c>
      <c r="AW6">
        <v>117</v>
      </c>
      <c r="AX6">
        <v>0</v>
      </c>
      <c r="AY6">
        <v>62</v>
      </c>
      <c r="AZ6">
        <v>0</v>
      </c>
      <c r="BA6">
        <v>0</v>
      </c>
      <c r="BB6">
        <v>56</v>
      </c>
      <c r="BC6">
        <v>0</v>
      </c>
      <c r="BD6">
        <v>38889</v>
      </c>
      <c r="BE6">
        <v>34439</v>
      </c>
      <c r="BF6">
        <v>73111</v>
      </c>
      <c r="BG6">
        <v>0</v>
      </c>
      <c r="BH6">
        <v>1129</v>
      </c>
      <c r="BI6">
        <v>106</v>
      </c>
      <c r="BJ6">
        <v>48</v>
      </c>
    </row>
    <row r="7" spans="1:63" x14ac:dyDescent="0.2">
      <c r="A7" s="25" t="s">
        <v>45</v>
      </c>
      <c r="E7">
        <v>14</v>
      </c>
      <c r="F7">
        <v>0</v>
      </c>
      <c r="H7">
        <v>10</v>
      </c>
      <c r="I7">
        <v>182</v>
      </c>
      <c r="K7">
        <v>1</v>
      </c>
      <c r="L7">
        <v>6</v>
      </c>
      <c r="M7">
        <v>0</v>
      </c>
      <c r="N7">
        <v>0</v>
      </c>
      <c r="O7">
        <v>7</v>
      </c>
      <c r="P7">
        <v>14</v>
      </c>
      <c r="Q7">
        <v>13</v>
      </c>
      <c r="R7">
        <v>3</v>
      </c>
      <c r="S7">
        <v>0</v>
      </c>
      <c r="U7">
        <v>6</v>
      </c>
      <c r="V7">
        <v>5</v>
      </c>
      <c r="W7">
        <v>3</v>
      </c>
      <c r="X7">
        <v>0</v>
      </c>
      <c r="Y7">
        <v>22</v>
      </c>
      <c r="Z7">
        <v>0</v>
      </c>
      <c r="AA7">
        <v>178</v>
      </c>
      <c r="AB7">
        <v>59</v>
      </c>
      <c r="AC7">
        <v>0</v>
      </c>
      <c r="AD7">
        <v>0</v>
      </c>
      <c r="AE7">
        <v>0</v>
      </c>
      <c r="AF7">
        <v>0</v>
      </c>
      <c r="AG7">
        <v>0</v>
      </c>
      <c r="AH7">
        <v>44</v>
      </c>
      <c r="AJ7">
        <v>1</v>
      </c>
      <c r="AL7">
        <v>0</v>
      </c>
      <c r="AM7">
        <v>0</v>
      </c>
      <c r="AN7">
        <v>1</v>
      </c>
      <c r="AO7">
        <v>0</v>
      </c>
      <c r="AP7">
        <v>8117</v>
      </c>
      <c r="AQ7">
        <v>184</v>
      </c>
      <c r="AR7">
        <v>5</v>
      </c>
      <c r="AS7">
        <v>1</v>
      </c>
      <c r="AT7">
        <v>0</v>
      </c>
      <c r="AV7">
        <v>2</v>
      </c>
      <c r="AW7">
        <v>9</v>
      </c>
      <c r="AX7">
        <v>0</v>
      </c>
      <c r="AY7">
        <v>5</v>
      </c>
      <c r="AZ7">
        <v>0</v>
      </c>
      <c r="BA7">
        <v>0</v>
      </c>
      <c r="BB7">
        <v>3</v>
      </c>
      <c r="BC7">
        <v>0</v>
      </c>
      <c r="BD7">
        <v>39753</v>
      </c>
      <c r="BE7">
        <v>28174</v>
      </c>
      <c r="BF7">
        <v>55793</v>
      </c>
      <c r="BG7">
        <v>0</v>
      </c>
      <c r="BH7">
        <v>187</v>
      </c>
      <c r="BI7">
        <v>24</v>
      </c>
      <c r="BJ7">
        <v>0</v>
      </c>
    </row>
    <row r="8" spans="1:63" x14ac:dyDescent="0.2">
      <c r="A8" s="25" t="s">
        <v>46</v>
      </c>
      <c r="E8">
        <v>13</v>
      </c>
      <c r="F8">
        <v>0</v>
      </c>
      <c r="H8">
        <v>10</v>
      </c>
      <c r="I8">
        <v>0</v>
      </c>
      <c r="K8">
        <v>0</v>
      </c>
      <c r="L8">
        <v>8</v>
      </c>
      <c r="M8">
        <v>0</v>
      </c>
      <c r="N8">
        <v>0</v>
      </c>
      <c r="O8">
        <v>0</v>
      </c>
      <c r="P8">
        <v>8</v>
      </c>
      <c r="Q8">
        <v>1</v>
      </c>
      <c r="R8">
        <v>0</v>
      </c>
      <c r="S8">
        <v>0</v>
      </c>
      <c r="U8">
        <v>5</v>
      </c>
      <c r="V8">
        <v>5</v>
      </c>
      <c r="W8">
        <v>3</v>
      </c>
      <c r="X8">
        <v>0</v>
      </c>
      <c r="Y8">
        <v>24</v>
      </c>
      <c r="Z8">
        <v>1</v>
      </c>
      <c r="AA8">
        <v>181</v>
      </c>
      <c r="AB8">
        <v>63</v>
      </c>
      <c r="AC8">
        <v>0</v>
      </c>
      <c r="AD8">
        <v>0</v>
      </c>
      <c r="AE8">
        <v>0</v>
      </c>
      <c r="AF8">
        <v>0</v>
      </c>
      <c r="AG8">
        <v>0</v>
      </c>
      <c r="AH8">
        <v>54</v>
      </c>
      <c r="AJ8">
        <v>0</v>
      </c>
      <c r="AL8">
        <v>0</v>
      </c>
      <c r="AM8">
        <v>0</v>
      </c>
      <c r="AN8">
        <v>1</v>
      </c>
      <c r="AO8">
        <v>0</v>
      </c>
      <c r="AP8">
        <v>60</v>
      </c>
      <c r="AQ8">
        <v>0</v>
      </c>
      <c r="AR8">
        <v>27</v>
      </c>
      <c r="AS8">
        <v>0</v>
      </c>
      <c r="AT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36922</v>
      </c>
      <c r="BE8">
        <v>26389</v>
      </c>
      <c r="BF8">
        <v>63256</v>
      </c>
      <c r="BG8">
        <v>0</v>
      </c>
      <c r="BH8">
        <v>0</v>
      </c>
      <c r="BI8">
        <v>7</v>
      </c>
      <c r="BJ8">
        <v>0</v>
      </c>
    </row>
    <row r="9" spans="1:63" x14ac:dyDescent="0.2">
      <c r="A9" s="25" t="s">
        <v>47</v>
      </c>
      <c r="E9">
        <v>6</v>
      </c>
      <c r="F9">
        <v>8</v>
      </c>
      <c r="H9">
        <v>10</v>
      </c>
      <c r="I9">
        <v>0</v>
      </c>
      <c r="K9">
        <v>0</v>
      </c>
      <c r="L9">
        <v>7</v>
      </c>
      <c r="M9">
        <v>0</v>
      </c>
      <c r="N9">
        <v>1</v>
      </c>
      <c r="O9">
        <v>0</v>
      </c>
      <c r="P9">
        <v>6</v>
      </c>
      <c r="Q9">
        <v>1</v>
      </c>
      <c r="R9">
        <v>0</v>
      </c>
      <c r="S9">
        <v>0</v>
      </c>
      <c r="U9">
        <v>4</v>
      </c>
      <c r="V9">
        <v>4</v>
      </c>
      <c r="W9">
        <v>3</v>
      </c>
      <c r="X9">
        <v>0</v>
      </c>
      <c r="Y9">
        <v>21</v>
      </c>
      <c r="Z9">
        <v>0</v>
      </c>
      <c r="AA9">
        <v>167</v>
      </c>
      <c r="AB9">
        <v>59</v>
      </c>
      <c r="AC9">
        <v>0</v>
      </c>
      <c r="AD9">
        <v>5</v>
      </c>
      <c r="AE9">
        <v>0</v>
      </c>
      <c r="AF9">
        <v>0</v>
      </c>
      <c r="AG9">
        <v>0</v>
      </c>
      <c r="AH9">
        <v>49</v>
      </c>
      <c r="AJ9">
        <v>1</v>
      </c>
      <c r="AL9">
        <v>3</v>
      </c>
      <c r="AM9">
        <v>3</v>
      </c>
      <c r="AN9">
        <v>0</v>
      </c>
      <c r="AO9">
        <v>161</v>
      </c>
      <c r="AP9">
        <v>0</v>
      </c>
      <c r="AQ9">
        <v>0</v>
      </c>
      <c r="AR9">
        <v>0</v>
      </c>
      <c r="AS9">
        <v>0</v>
      </c>
      <c r="AT9">
        <v>23</v>
      </c>
      <c r="AV9">
        <v>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33750</v>
      </c>
      <c r="BE9">
        <v>16633</v>
      </c>
      <c r="BF9">
        <v>67345</v>
      </c>
      <c r="BG9">
        <v>1</v>
      </c>
      <c r="BH9">
        <v>0</v>
      </c>
      <c r="BI9">
        <v>0</v>
      </c>
      <c r="BJ9">
        <v>0</v>
      </c>
      <c r="BK9">
        <v>0</v>
      </c>
    </row>
    <row r="10" spans="1:63" x14ac:dyDescent="0.2">
      <c r="A10" s="25" t="s">
        <v>48</v>
      </c>
      <c r="E10">
        <v>3</v>
      </c>
      <c r="F10">
        <v>0</v>
      </c>
      <c r="H10">
        <v>9</v>
      </c>
      <c r="I10">
        <v>0</v>
      </c>
      <c r="K10">
        <v>0</v>
      </c>
      <c r="L10">
        <v>5</v>
      </c>
      <c r="M10">
        <v>0</v>
      </c>
      <c r="N10">
        <v>0</v>
      </c>
      <c r="O10">
        <v>0</v>
      </c>
      <c r="P10">
        <v>6</v>
      </c>
      <c r="Q10">
        <v>0</v>
      </c>
      <c r="R10">
        <v>0</v>
      </c>
      <c r="S10">
        <v>61</v>
      </c>
      <c r="U10">
        <v>5</v>
      </c>
      <c r="V10">
        <v>4</v>
      </c>
      <c r="W10">
        <v>2</v>
      </c>
      <c r="X10">
        <v>0</v>
      </c>
      <c r="Y10">
        <v>20</v>
      </c>
      <c r="Z10">
        <v>0</v>
      </c>
      <c r="AA10">
        <v>158</v>
      </c>
      <c r="AB10">
        <v>56</v>
      </c>
      <c r="AC10">
        <v>0</v>
      </c>
      <c r="AD10">
        <v>0</v>
      </c>
      <c r="AE10">
        <v>0</v>
      </c>
      <c r="AF10">
        <v>3</v>
      </c>
      <c r="AG10">
        <v>3</v>
      </c>
      <c r="AH10">
        <v>46</v>
      </c>
      <c r="AJ10">
        <v>0</v>
      </c>
      <c r="AL10">
        <v>180</v>
      </c>
      <c r="AM10">
        <v>30484</v>
      </c>
      <c r="AN10">
        <v>0</v>
      </c>
      <c r="AO10">
        <v>25804</v>
      </c>
      <c r="AP10">
        <v>7</v>
      </c>
      <c r="AQ10">
        <v>4</v>
      </c>
      <c r="AR10">
        <v>2</v>
      </c>
      <c r="AS10">
        <v>1</v>
      </c>
      <c r="AT10">
        <v>8</v>
      </c>
      <c r="AV10">
        <v>2</v>
      </c>
      <c r="AW10">
        <v>8</v>
      </c>
      <c r="AX10">
        <v>0</v>
      </c>
      <c r="AY10">
        <v>0</v>
      </c>
      <c r="AZ10">
        <v>0</v>
      </c>
      <c r="BA10">
        <v>33</v>
      </c>
      <c r="BB10">
        <v>0</v>
      </c>
      <c r="BC10">
        <v>0</v>
      </c>
      <c r="BD10">
        <v>39933</v>
      </c>
      <c r="BE10">
        <v>13789</v>
      </c>
      <c r="BF10">
        <v>67286</v>
      </c>
      <c r="BG10">
        <v>2</v>
      </c>
      <c r="BH10">
        <v>0</v>
      </c>
      <c r="BI10">
        <v>0</v>
      </c>
      <c r="BJ10">
        <v>0</v>
      </c>
    </row>
    <row r="11" spans="1:63" x14ac:dyDescent="0.2">
      <c r="A11" s="25" t="s">
        <v>49</v>
      </c>
      <c r="E11">
        <v>3</v>
      </c>
      <c r="F11">
        <v>0</v>
      </c>
      <c r="H11">
        <v>11</v>
      </c>
      <c r="I11">
        <v>0</v>
      </c>
      <c r="K11">
        <v>0</v>
      </c>
      <c r="L11">
        <v>6</v>
      </c>
      <c r="M11">
        <v>0</v>
      </c>
      <c r="N11">
        <v>0</v>
      </c>
      <c r="O11">
        <v>1</v>
      </c>
      <c r="P11">
        <v>6</v>
      </c>
      <c r="Q11">
        <v>7</v>
      </c>
      <c r="R11">
        <v>0</v>
      </c>
      <c r="S11">
        <v>631</v>
      </c>
      <c r="U11">
        <v>6</v>
      </c>
      <c r="V11">
        <v>4</v>
      </c>
      <c r="W11">
        <v>2</v>
      </c>
      <c r="X11">
        <v>0</v>
      </c>
      <c r="Y11">
        <v>22</v>
      </c>
      <c r="Z11">
        <v>1</v>
      </c>
      <c r="AA11">
        <v>185</v>
      </c>
      <c r="AB11">
        <v>61</v>
      </c>
      <c r="AC11">
        <v>0</v>
      </c>
      <c r="AD11">
        <v>0</v>
      </c>
      <c r="AE11">
        <v>0</v>
      </c>
      <c r="AF11">
        <v>31047</v>
      </c>
      <c r="AG11">
        <v>17100</v>
      </c>
      <c r="AH11">
        <v>28850</v>
      </c>
      <c r="AJ11">
        <v>5434</v>
      </c>
      <c r="AL11">
        <v>29920</v>
      </c>
      <c r="AM11">
        <v>36760</v>
      </c>
      <c r="AN11">
        <v>1832</v>
      </c>
      <c r="AO11">
        <v>2280</v>
      </c>
      <c r="AP11">
        <v>33582</v>
      </c>
      <c r="AQ11">
        <v>18738</v>
      </c>
      <c r="AR11">
        <v>24899</v>
      </c>
      <c r="AS11">
        <v>35230</v>
      </c>
      <c r="AT11">
        <v>20574</v>
      </c>
      <c r="AV11">
        <v>4</v>
      </c>
      <c r="AW11">
        <v>1</v>
      </c>
      <c r="AX11">
        <v>0</v>
      </c>
      <c r="AY11">
        <v>1</v>
      </c>
      <c r="AZ11">
        <v>0</v>
      </c>
      <c r="BA11">
        <v>86954</v>
      </c>
      <c r="BB11">
        <v>0</v>
      </c>
      <c r="BC11">
        <v>0</v>
      </c>
      <c r="BD11">
        <v>83210</v>
      </c>
      <c r="BE11">
        <v>24925</v>
      </c>
      <c r="BF11">
        <v>68479</v>
      </c>
      <c r="BG11">
        <v>0</v>
      </c>
      <c r="BH11">
        <v>0</v>
      </c>
      <c r="BI11">
        <v>0</v>
      </c>
      <c r="BJ11">
        <v>3</v>
      </c>
    </row>
    <row r="12" spans="1:63" x14ac:dyDescent="0.2">
      <c r="A12" s="25" t="s">
        <v>50</v>
      </c>
      <c r="E12">
        <v>10</v>
      </c>
      <c r="F12">
        <v>8</v>
      </c>
      <c r="H12">
        <v>14</v>
      </c>
      <c r="I12">
        <v>51</v>
      </c>
      <c r="K12">
        <v>21</v>
      </c>
      <c r="L12">
        <v>8</v>
      </c>
      <c r="M12">
        <v>0</v>
      </c>
      <c r="N12">
        <v>0</v>
      </c>
      <c r="O12">
        <v>72</v>
      </c>
      <c r="P12">
        <v>6</v>
      </c>
      <c r="Q12">
        <v>82</v>
      </c>
      <c r="R12">
        <v>0</v>
      </c>
      <c r="S12">
        <v>797</v>
      </c>
      <c r="U12">
        <v>7</v>
      </c>
      <c r="V12">
        <v>33905</v>
      </c>
      <c r="W12">
        <v>3</v>
      </c>
      <c r="X12">
        <v>0</v>
      </c>
      <c r="Y12">
        <v>300</v>
      </c>
      <c r="Z12">
        <v>18</v>
      </c>
      <c r="AA12">
        <v>2947</v>
      </c>
      <c r="AB12">
        <v>136</v>
      </c>
      <c r="AC12">
        <v>0</v>
      </c>
      <c r="AD12">
        <v>0</v>
      </c>
      <c r="AE12">
        <v>0</v>
      </c>
      <c r="AF12">
        <v>41791</v>
      </c>
      <c r="AG12">
        <v>57630</v>
      </c>
      <c r="AH12">
        <v>54201</v>
      </c>
      <c r="AJ12">
        <v>19225</v>
      </c>
      <c r="AL12">
        <v>0</v>
      </c>
      <c r="AM12">
        <v>30</v>
      </c>
      <c r="AN12">
        <v>0</v>
      </c>
      <c r="AO12">
        <v>20400</v>
      </c>
      <c r="AP12">
        <v>113854</v>
      </c>
      <c r="AQ12">
        <v>48829</v>
      </c>
      <c r="AR12">
        <v>0</v>
      </c>
      <c r="AS12">
        <v>139410</v>
      </c>
      <c r="AT12">
        <v>58026</v>
      </c>
      <c r="AV12">
        <v>3</v>
      </c>
      <c r="AW12">
        <v>12</v>
      </c>
      <c r="AX12">
        <v>0</v>
      </c>
      <c r="AY12">
        <v>41</v>
      </c>
      <c r="AZ12">
        <v>0</v>
      </c>
      <c r="BA12">
        <v>0</v>
      </c>
      <c r="BB12">
        <v>9</v>
      </c>
      <c r="BC12">
        <v>0</v>
      </c>
      <c r="BD12">
        <v>58010</v>
      </c>
      <c r="BE12">
        <v>22666</v>
      </c>
      <c r="BF12">
        <v>35919</v>
      </c>
      <c r="BG12">
        <v>53080</v>
      </c>
      <c r="BH12">
        <v>20</v>
      </c>
      <c r="BI12">
        <v>5</v>
      </c>
      <c r="BJ12">
        <v>11</v>
      </c>
    </row>
    <row r="13" spans="1:63" x14ac:dyDescent="0.2">
      <c r="A13" s="25" t="s">
        <v>51</v>
      </c>
      <c r="E13">
        <v>32</v>
      </c>
      <c r="F13">
        <v>247</v>
      </c>
      <c r="H13">
        <v>134</v>
      </c>
      <c r="I13">
        <v>625</v>
      </c>
      <c r="K13">
        <v>156</v>
      </c>
      <c r="L13">
        <v>8</v>
      </c>
      <c r="M13">
        <v>30</v>
      </c>
      <c r="N13">
        <v>1</v>
      </c>
      <c r="O13">
        <v>199</v>
      </c>
      <c r="P13">
        <v>7</v>
      </c>
      <c r="Q13">
        <v>402</v>
      </c>
      <c r="R13">
        <v>0</v>
      </c>
      <c r="S13">
        <v>961</v>
      </c>
      <c r="U13">
        <v>8</v>
      </c>
      <c r="V13">
        <v>98100</v>
      </c>
      <c r="W13">
        <v>5</v>
      </c>
      <c r="X13">
        <v>0</v>
      </c>
      <c r="Y13">
        <v>1259</v>
      </c>
      <c r="Z13">
        <v>223</v>
      </c>
      <c r="AA13">
        <v>6469</v>
      </c>
      <c r="AB13">
        <v>569</v>
      </c>
      <c r="AC13">
        <v>0</v>
      </c>
      <c r="AD13">
        <v>0</v>
      </c>
      <c r="AE13">
        <v>0</v>
      </c>
      <c r="AF13">
        <v>2165</v>
      </c>
      <c r="AG13">
        <v>1770</v>
      </c>
      <c r="AH13">
        <v>2962</v>
      </c>
      <c r="AJ13">
        <v>9392</v>
      </c>
      <c r="AL13">
        <v>0</v>
      </c>
      <c r="AM13">
        <v>227</v>
      </c>
      <c r="AN13">
        <v>8060</v>
      </c>
      <c r="AO13">
        <v>37690</v>
      </c>
      <c r="AP13">
        <v>16640</v>
      </c>
      <c r="AQ13">
        <v>9263</v>
      </c>
      <c r="AR13">
        <v>0</v>
      </c>
      <c r="AS13">
        <v>139411</v>
      </c>
      <c r="AT13">
        <v>9395</v>
      </c>
      <c r="AV13">
        <v>1</v>
      </c>
      <c r="AW13">
        <v>71</v>
      </c>
      <c r="AX13">
        <v>0</v>
      </c>
      <c r="AY13">
        <v>200</v>
      </c>
      <c r="AZ13">
        <v>0</v>
      </c>
      <c r="BA13">
        <v>0</v>
      </c>
      <c r="BB13">
        <v>58</v>
      </c>
      <c r="BC13">
        <v>0</v>
      </c>
      <c r="BG13">
        <v>65210</v>
      </c>
      <c r="BH13">
        <v>3048</v>
      </c>
      <c r="BI13">
        <v>170</v>
      </c>
      <c r="BJ13">
        <v>717</v>
      </c>
    </row>
    <row r="14" spans="1:63" x14ac:dyDescent="0.2">
      <c r="A14" s="25" t="s">
        <v>52</v>
      </c>
      <c r="E14">
        <v>56</v>
      </c>
      <c r="F14">
        <v>321</v>
      </c>
      <c r="H14">
        <v>250</v>
      </c>
      <c r="I14">
        <v>1251</v>
      </c>
      <c r="K14">
        <v>247</v>
      </c>
      <c r="L14">
        <v>15</v>
      </c>
      <c r="M14">
        <v>78</v>
      </c>
      <c r="N14">
        <v>0</v>
      </c>
      <c r="O14">
        <v>208</v>
      </c>
      <c r="P14">
        <v>25</v>
      </c>
      <c r="Q14">
        <v>769</v>
      </c>
      <c r="R14">
        <v>0</v>
      </c>
      <c r="S14">
        <v>1014</v>
      </c>
      <c r="U14">
        <v>9</v>
      </c>
      <c r="V14">
        <v>212</v>
      </c>
      <c r="W14">
        <v>5</v>
      </c>
      <c r="X14">
        <v>0</v>
      </c>
      <c r="Y14">
        <v>1801</v>
      </c>
      <c r="Z14">
        <v>417</v>
      </c>
      <c r="AA14">
        <v>7853</v>
      </c>
      <c r="AB14">
        <v>897</v>
      </c>
      <c r="AC14">
        <v>0</v>
      </c>
      <c r="AD14">
        <v>0</v>
      </c>
      <c r="AE14">
        <v>0</v>
      </c>
      <c r="AF14">
        <v>0</v>
      </c>
      <c r="AG14">
        <v>2600</v>
      </c>
      <c r="AH14">
        <v>23</v>
      </c>
      <c r="AJ14">
        <v>0</v>
      </c>
      <c r="AL14">
        <v>1500</v>
      </c>
      <c r="AM14">
        <v>341</v>
      </c>
      <c r="AN14">
        <v>29560</v>
      </c>
      <c r="AO14">
        <v>0</v>
      </c>
      <c r="AP14">
        <v>3269</v>
      </c>
      <c r="AQ14">
        <v>107</v>
      </c>
      <c r="AR14">
        <v>4764</v>
      </c>
      <c r="AS14">
        <v>137989</v>
      </c>
      <c r="AT14">
        <v>0</v>
      </c>
      <c r="AV14">
        <v>2</v>
      </c>
      <c r="AW14">
        <v>287</v>
      </c>
      <c r="AX14">
        <v>0</v>
      </c>
      <c r="AY14">
        <v>439</v>
      </c>
      <c r="AZ14">
        <v>0</v>
      </c>
      <c r="BA14">
        <v>137989</v>
      </c>
      <c r="BB14">
        <v>84</v>
      </c>
      <c r="BC14">
        <v>0</v>
      </c>
      <c r="BD14">
        <v>41523</v>
      </c>
      <c r="BE14">
        <v>25800</v>
      </c>
      <c r="BF14">
        <v>33210</v>
      </c>
      <c r="BG14">
        <v>13750</v>
      </c>
      <c r="BH14">
        <v>3097</v>
      </c>
      <c r="BI14">
        <v>316</v>
      </c>
    </row>
    <row r="15" spans="1:63" ht="13.5" thickBot="1" x14ac:dyDescent="0.25">
      <c r="A15" s="92" t="s">
        <v>58</v>
      </c>
      <c r="B15" s="93">
        <f>SUM(B3:B14)/10</f>
        <v>0</v>
      </c>
      <c r="C15" s="93">
        <f>SUM(B20:B31)/10</f>
        <v>0</v>
      </c>
      <c r="D15" s="93"/>
      <c r="E15" s="94">
        <f>SUM(E3:E14)/10</f>
        <v>42.4</v>
      </c>
      <c r="F15" s="94">
        <v>0</v>
      </c>
      <c r="G15" s="95">
        <f>SUM(G3:G14)/10</f>
        <v>0</v>
      </c>
      <c r="H15" s="94">
        <f>SUM(H3:H14)/10</f>
        <v>170.3</v>
      </c>
      <c r="I15" s="94">
        <v>0</v>
      </c>
      <c r="J15" s="94"/>
      <c r="K15" s="94">
        <f t="shared" ref="K15:S15" si="0">SUM(K3:K14)/10</f>
        <v>130.4</v>
      </c>
      <c r="L15" s="94">
        <f t="shared" si="0"/>
        <v>21.1</v>
      </c>
      <c r="M15" s="94">
        <f t="shared" si="0"/>
        <v>29.1</v>
      </c>
      <c r="N15" s="94">
        <f t="shared" si="0"/>
        <v>0.3</v>
      </c>
      <c r="O15" s="94">
        <f t="shared" si="0"/>
        <v>121.2</v>
      </c>
      <c r="P15" s="94">
        <f t="shared" si="0"/>
        <v>32.6</v>
      </c>
      <c r="Q15" s="94">
        <f t="shared" si="0"/>
        <v>327.9</v>
      </c>
      <c r="R15" s="94">
        <f t="shared" si="0"/>
        <v>1.9</v>
      </c>
      <c r="S15" s="94">
        <f t="shared" si="0"/>
        <v>549.79999999999995</v>
      </c>
      <c r="T15" s="94"/>
      <c r="U15" s="94">
        <f t="shared" ref="U15:AE15" si="1">SUM(U3:U14)/10</f>
        <v>9.1</v>
      </c>
      <c r="V15" s="94">
        <f t="shared" si="1"/>
        <v>13338.7</v>
      </c>
      <c r="W15" s="94">
        <f t="shared" si="1"/>
        <v>4.7</v>
      </c>
      <c r="X15" s="94">
        <f t="shared" si="1"/>
        <v>0</v>
      </c>
      <c r="Y15" s="94">
        <f t="shared" si="1"/>
        <v>888.7</v>
      </c>
      <c r="Z15" s="94">
        <f t="shared" si="1"/>
        <v>160.80000000000001</v>
      </c>
      <c r="AA15" s="94">
        <f t="shared" si="1"/>
        <v>4451.5</v>
      </c>
      <c r="AB15" s="94">
        <f t="shared" si="1"/>
        <v>510.7</v>
      </c>
      <c r="AC15" s="94">
        <f t="shared" si="1"/>
        <v>0</v>
      </c>
      <c r="AD15" s="94">
        <f t="shared" si="1"/>
        <v>2.4</v>
      </c>
      <c r="AE15" s="94">
        <f t="shared" si="1"/>
        <v>0</v>
      </c>
      <c r="AF15" s="94">
        <f>SUM(AF3:AF14)/10</f>
        <v>7514.3</v>
      </c>
      <c r="AG15" s="94">
        <f>SUM(AG3:AG14)/10</f>
        <v>7910.3</v>
      </c>
      <c r="AH15" s="94">
        <f>SUM(AH3:AH14)/10</f>
        <v>8645.1</v>
      </c>
      <c r="AI15" s="94">
        <f>SUM(AI3:AI14)/10</f>
        <v>0</v>
      </c>
      <c r="AJ15" s="94">
        <f>SUM(AJ3:AJ14)/10</f>
        <v>3405.3</v>
      </c>
      <c r="AK15" s="94"/>
      <c r="AL15" s="94">
        <f t="shared" ref="AL15:BB15" si="2">SUM(AL3:AL14)/10</f>
        <v>3160.3</v>
      </c>
      <c r="AM15" s="94">
        <f t="shared" si="2"/>
        <v>7089.9</v>
      </c>
      <c r="AN15" s="94">
        <f t="shared" si="2"/>
        <v>4119.1000000000004</v>
      </c>
      <c r="AO15" s="94">
        <f t="shared" si="2"/>
        <v>8633.5</v>
      </c>
      <c r="AP15" s="94">
        <f t="shared" si="2"/>
        <v>17610.8</v>
      </c>
      <c r="AQ15" s="94">
        <f t="shared" si="2"/>
        <v>7749</v>
      </c>
      <c r="AR15" s="94">
        <f t="shared" si="2"/>
        <v>2969.7</v>
      </c>
      <c r="AS15" s="96">
        <f t="shared" si="2"/>
        <v>45366.7</v>
      </c>
      <c r="AT15" s="94">
        <f t="shared" si="2"/>
        <v>8803</v>
      </c>
      <c r="AU15" s="94">
        <f t="shared" si="2"/>
        <v>0</v>
      </c>
      <c r="AV15" s="94">
        <f t="shared" si="2"/>
        <v>2.2999999999999998</v>
      </c>
      <c r="AW15" s="94">
        <f t="shared" si="2"/>
        <v>168.6</v>
      </c>
      <c r="AX15" s="94">
        <f t="shared" si="2"/>
        <v>0</v>
      </c>
      <c r="AY15" s="94">
        <f t="shared" si="2"/>
        <v>201.3</v>
      </c>
      <c r="AZ15" s="94">
        <f t="shared" si="2"/>
        <v>0</v>
      </c>
      <c r="BA15" s="94">
        <f t="shared" si="2"/>
        <v>22511.8</v>
      </c>
      <c r="BB15" s="94">
        <f t="shared" si="2"/>
        <v>64.900000000000006</v>
      </c>
      <c r="BC15" s="94">
        <f>SUM(BC3:BC14)/10</f>
        <v>0</v>
      </c>
      <c r="BD15" s="97">
        <f t="shared" ref="BD15:BF16" si="3">SUM(B15:BC15)</f>
        <v>176719.49999999997</v>
      </c>
      <c r="BE15" s="97">
        <f t="shared" si="3"/>
        <v>353438.99999999994</v>
      </c>
      <c r="BF15" s="97">
        <f t="shared" si="3"/>
        <v>706877.99999999988</v>
      </c>
      <c r="BG15" s="97"/>
      <c r="BH15" s="97"/>
      <c r="BI15" s="97"/>
      <c r="BJ15" s="97"/>
      <c r="BK15" s="97"/>
    </row>
    <row r="16" spans="1:63" ht="13.5" thickTop="1" x14ac:dyDescent="0.2">
      <c r="A16" s="92"/>
      <c r="B16" s="134">
        <f>SUM(B3:B14)</f>
        <v>0</v>
      </c>
      <c r="C16" s="134">
        <f t="shared" ref="C16:AE16" si="4">SUM(C3:C14)</f>
        <v>0</v>
      </c>
      <c r="D16" s="134">
        <f t="shared" si="4"/>
        <v>0</v>
      </c>
      <c r="E16" s="134">
        <f>SUM(E3:E14)</f>
        <v>424</v>
      </c>
      <c r="F16" s="134">
        <f t="shared" si="4"/>
        <v>1505</v>
      </c>
      <c r="G16" s="134">
        <f t="shared" si="4"/>
        <v>0</v>
      </c>
      <c r="H16" s="134">
        <f t="shared" si="4"/>
        <v>1703</v>
      </c>
      <c r="I16" s="134">
        <f t="shared" si="4"/>
        <v>6472</v>
      </c>
      <c r="J16" s="134">
        <f t="shared" si="4"/>
        <v>0</v>
      </c>
      <c r="K16" s="134">
        <f t="shared" si="4"/>
        <v>1304</v>
      </c>
      <c r="L16" s="134">
        <f t="shared" si="4"/>
        <v>211</v>
      </c>
      <c r="M16" s="134">
        <f t="shared" si="4"/>
        <v>291</v>
      </c>
      <c r="N16" s="134">
        <f t="shared" si="4"/>
        <v>3</v>
      </c>
      <c r="O16" s="134">
        <f t="shared" si="4"/>
        <v>1212</v>
      </c>
      <c r="P16" s="134">
        <f t="shared" si="4"/>
        <v>326</v>
      </c>
      <c r="Q16" s="134">
        <f t="shared" si="4"/>
        <v>3279</v>
      </c>
      <c r="R16" s="134">
        <f t="shared" si="4"/>
        <v>19</v>
      </c>
      <c r="S16" s="134">
        <f t="shared" si="4"/>
        <v>5498</v>
      </c>
      <c r="T16" s="134">
        <f t="shared" si="4"/>
        <v>0</v>
      </c>
      <c r="U16" s="134">
        <f t="shared" si="4"/>
        <v>91</v>
      </c>
      <c r="V16" s="134">
        <f t="shared" si="4"/>
        <v>133387</v>
      </c>
      <c r="W16" s="134">
        <f t="shared" si="4"/>
        <v>47</v>
      </c>
      <c r="X16" s="134">
        <f t="shared" si="4"/>
        <v>0</v>
      </c>
      <c r="Y16" s="134">
        <f t="shared" si="4"/>
        <v>8887</v>
      </c>
      <c r="Z16" s="134">
        <f t="shared" si="4"/>
        <v>1608</v>
      </c>
      <c r="AA16" s="134">
        <f t="shared" si="4"/>
        <v>44515</v>
      </c>
      <c r="AB16" s="134">
        <f t="shared" si="4"/>
        <v>5107</v>
      </c>
      <c r="AC16" s="134">
        <f t="shared" si="4"/>
        <v>0</v>
      </c>
      <c r="AD16" s="134">
        <f t="shared" si="4"/>
        <v>24</v>
      </c>
      <c r="AE16" s="134">
        <f t="shared" si="4"/>
        <v>0</v>
      </c>
      <c r="AF16" s="135">
        <f>SUM(AF3:AF14)</f>
        <v>75143</v>
      </c>
      <c r="AG16" s="135">
        <f>SUM(AG3:AG14)</f>
        <v>79103</v>
      </c>
      <c r="AH16" s="135">
        <f t="shared" ref="AH16:BC16" si="5">SUM(AH3:AH14)</f>
        <v>86451</v>
      </c>
      <c r="AI16" s="135">
        <f t="shared" si="5"/>
        <v>0</v>
      </c>
      <c r="AJ16" s="135">
        <f t="shared" si="5"/>
        <v>34053</v>
      </c>
      <c r="AK16" s="135">
        <f t="shared" si="5"/>
        <v>0</v>
      </c>
      <c r="AL16" s="135">
        <f t="shared" si="5"/>
        <v>31603</v>
      </c>
      <c r="AM16" s="135">
        <f t="shared" si="5"/>
        <v>70899</v>
      </c>
      <c r="AN16" s="135">
        <f t="shared" si="5"/>
        <v>41191</v>
      </c>
      <c r="AO16" s="135">
        <f t="shared" si="5"/>
        <v>86335</v>
      </c>
      <c r="AP16" s="135">
        <f t="shared" si="5"/>
        <v>176108</v>
      </c>
      <c r="AQ16" s="135">
        <f t="shared" si="5"/>
        <v>77490</v>
      </c>
      <c r="AR16" s="135">
        <f t="shared" si="5"/>
        <v>29697</v>
      </c>
      <c r="AS16" s="135">
        <f t="shared" si="5"/>
        <v>453667</v>
      </c>
      <c r="AT16" s="135">
        <f t="shared" si="5"/>
        <v>88030</v>
      </c>
      <c r="AU16" s="135">
        <f t="shared" si="5"/>
        <v>0</v>
      </c>
      <c r="AV16" s="135">
        <f t="shared" si="5"/>
        <v>23</v>
      </c>
      <c r="AW16" s="135">
        <f t="shared" si="5"/>
        <v>1686</v>
      </c>
      <c r="AX16" s="135">
        <f t="shared" si="5"/>
        <v>0</v>
      </c>
      <c r="AY16" s="135">
        <f t="shared" si="5"/>
        <v>2013</v>
      </c>
      <c r="AZ16" s="135">
        <f t="shared" si="5"/>
        <v>0</v>
      </c>
      <c r="BA16" s="135">
        <f t="shared" si="5"/>
        <v>225118</v>
      </c>
      <c r="BB16" s="135">
        <f t="shared" si="5"/>
        <v>649</v>
      </c>
      <c r="BC16" s="135">
        <f t="shared" si="5"/>
        <v>0</v>
      </c>
      <c r="BD16" s="138">
        <f t="shared" si="3"/>
        <v>1775172</v>
      </c>
      <c r="BE16" s="138">
        <f t="shared" si="3"/>
        <v>3550344</v>
      </c>
      <c r="BF16" s="138">
        <f t="shared" si="3"/>
        <v>7100688</v>
      </c>
      <c r="BG16" s="138"/>
      <c r="BH16" s="138"/>
      <c r="BI16" s="138"/>
      <c r="BJ16" s="138"/>
      <c r="BK16" s="138"/>
    </row>
    <row r="20" spans="1:63" x14ac:dyDescent="0.2">
      <c r="A20" s="26">
        <v>2022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  <c r="BJ20" s="31" t="s">
        <v>53</v>
      </c>
      <c r="BK20" s="31" t="s">
        <v>53</v>
      </c>
    </row>
    <row r="21" spans="1:63" x14ac:dyDescent="0.2">
      <c r="A21" s="106" t="s">
        <v>59</v>
      </c>
      <c r="E21">
        <v>121.5</v>
      </c>
      <c r="F21">
        <v>408.54</v>
      </c>
      <c r="H21">
        <v>475.72</v>
      </c>
      <c r="I21">
        <v>1679.32</v>
      </c>
      <c r="K21">
        <v>374.39</v>
      </c>
      <c r="L21">
        <v>45.06</v>
      </c>
      <c r="M21">
        <v>94</v>
      </c>
      <c r="N21">
        <v>10.51</v>
      </c>
      <c r="O21">
        <v>254.01</v>
      </c>
      <c r="P21">
        <v>0</v>
      </c>
      <c r="Q21">
        <v>671.72</v>
      </c>
      <c r="R21">
        <v>13.62</v>
      </c>
      <c r="S21">
        <v>1001.86</v>
      </c>
      <c r="U21">
        <v>26.22</v>
      </c>
      <c r="V21">
        <v>558.20000000000005</v>
      </c>
      <c r="W21">
        <v>21.24</v>
      </c>
      <c r="X21">
        <v>15.62</v>
      </c>
      <c r="Y21">
        <v>2020.69</v>
      </c>
      <c r="Z21">
        <v>447.53</v>
      </c>
      <c r="AA21">
        <v>9639.98</v>
      </c>
      <c r="AB21">
        <v>1382.59</v>
      </c>
      <c r="AC21">
        <v>14.98</v>
      </c>
      <c r="AD21">
        <v>9.84</v>
      </c>
      <c r="AE21">
        <v>10.26</v>
      </c>
      <c r="AF21">
        <v>154.72</v>
      </c>
      <c r="AG21">
        <v>0</v>
      </c>
      <c r="AH21">
        <v>1717.78</v>
      </c>
      <c r="AJ21">
        <v>14.98</v>
      </c>
      <c r="AL21">
        <v>-9787.68</v>
      </c>
      <c r="AM21">
        <v>639.33000000000004</v>
      </c>
      <c r="AN21">
        <v>1114.3499999999999</v>
      </c>
      <c r="AO21">
        <v>9.84</v>
      </c>
      <c r="AP21">
        <v>646.19000000000005</v>
      </c>
      <c r="AQ21">
        <v>130.4</v>
      </c>
      <c r="AR21">
        <v>-3.08</v>
      </c>
      <c r="AS21">
        <v>814.35</v>
      </c>
      <c r="AT21">
        <v>4.6500000000000004</v>
      </c>
      <c r="AV21">
        <v>11.82</v>
      </c>
      <c r="AW21">
        <v>451.7</v>
      </c>
      <c r="AX21">
        <v>0</v>
      </c>
      <c r="AY21">
        <v>611.19000000000005</v>
      </c>
      <c r="AZ21">
        <v>8.69</v>
      </c>
      <c r="BA21">
        <v>153.82</v>
      </c>
      <c r="BB21">
        <v>184.46</v>
      </c>
      <c r="BC21">
        <v>15.5</v>
      </c>
      <c r="BD21">
        <v>6448.74</v>
      </c>
      <c r="BE21">
        <v>5612.46</v>
      </c>
      <c r="BF21">
        <v>7918.41</v>
      </c>
      <c r="BG21">
        <v>0</v>
      </c>
      <c r="BH21">
        <v>2711.43</v>
      </c>
      <c r="BI21">
        <v>538.96</v>
      </c>
      <c r="BJ21">
        <v>2112.39</v>
      </c>
    </row>
    <row r="22" spans="1:63" x14ac:dyDescent="0.2">
      <c r="A22" s="113" t="s">
        <v>42</v>
      </c>
      <c r="E22">
        <v>111.11</v>
      </c>
      <c r="F22">
        <v>345.35</v>
      </c>
      <c r="H22">
        <v>588.33000000000004</v>
      </c>
      <c r="I22">
        <v>1174.77</v>
      </c>
      <c r="K22">
        <v>339.32</v>
      </c>
      <c r="L22">
        <v>77.7</v>
      </c>
      <c r="M22">
        <v>85.32</v>
      </c>
      <c r="N22">
        <v>10.51</v>
      </c>
      <c r="O22">
        <v>304.33999999999997</v>
      </c>
      <c r="P22">
        <v>173.82</v>
      </c>
      <c r="Q22">
        <v>628.08000000000004</v>
      </c>
      <c r="R22">
        <v>18.87</v>
      </c>
      <c r="S22">
        <v>743.88</v>
      </c>
      <c r="U22">
        <v>27.39</v>
      </c>
      <c r="V22">
        <v>376.85</v>
      </c>
      <c r="W22">
        <v>15.03</v>
      </c>
      <c r="X22">
        <v>10.26</v>
      </c>
      <c r="Y22">
        <v>1886.2</v>
      </c>
      <c r="Z22">
        <v>383.87</v>
      </c>
      <c r="AA22">
        <v>8361.31</v>
      </c>
      <c r="AB22">
        <v>1005.51</v>
      </c>
      <c r="AC22">
        <v>9.84</v>
      </c>
      <c r="AD22">
        <v>29.67</v>
      </c>
      <c r="AE22">
        <v>10.26</v>
      </c>
      <c r="AF22">
        <v>10.56</v>
      </c>
      <c r="AG22">
        <v>-3.08</v>
      </c>
      <c r="AH22">
        <v>105.27</v>
      </c>
      <c r="AJ22">
        <v>9.84</v>
      </c>
      <c r="AL22">
        <v>-9777.42</v>
      </c>
      <c r="AM22">
        <v>371.86</v>
      </c>
      <c r="AN22">
        <v>532.86</v>
      </c>
      <c r="AO22">
        <v>9.84</v>
      </c>
      <c r="AP22">
        <v>9.84</v>
      </c>
      <c r="AQ22">
        <v>139.08000000000001</v>
      </c>
      <c r="AR22">
        <v>-6.16</v>
      </c>
      <c r="AS22">
        <v>932.84</v>
      </c>
      <c r="AT22">
        <v>-3.08</v>
      </c>
      <c r="AV22">
        <v>10.39</v>
      </c>
      <c r="AW22">
        <v>531.97</v>
      </c>
      <c r="AX22">
        <v>-3.08</v>
      </c>
      <c r="AY22">
        <v>538.85</v>
      </c>
      <c r="AZ22">
        <v>9.56</v>
      </c>
      <c r="BA22">
        <v>161.22</v>
      </c>
      <c r="BB22">
        <v>185.85</v>
      </c>
      <c r="BC22">
        <v>10.58</v>
      </c>
      <c r="BD22">
        <v>6448.74</v>
      </c>
      <c r="BE22">
        <v>5727.11</v>
      </c>
      <c r="BF22">
        <v>8079.18</v>
      </c>
      <c r="BG22">
        <v>-3.33</v>
      </c>
      <c r="BH22">
        <v>2442.94</v>
      </c>
      <c r="BI22">
        <v>605.69000000000005</v>
      </c>
      <c r="BJ22">
        <v>1667.71</v>
      </c>
    </row>
    <row r="23" spans="1:63" x14ac:dyDescent="0.2">
      <c r="A23" s="113" t="s">
        <v>43</v>
      </c>
      <c r="E23">
        <v>68.94</v>
      </c>
      <c r="F23">
        <v>186.47</v>
      </c>
      <c r="H23">
        <v>343.99</v>
      </c>
      <c r="I23">
        <v>1007.65</v>
      </c>
      <c r="K23">
        <v>188.96</v>
      </c>
      <c r="L23">
        <v>61.79</v>
      </c>
      <c r="M23">
        <v>44.97</v>
      </c>
      <c r="N23">
        <v>11.58</v>
      </c>
      <c r="O23">
        <v>151.51</v>
      </c>
      <c r="P23">
        <v>112.36</v>
      </c>
      <c r="Q23">
        <v>510.29</v>
      </c>
      <c r="R23">
        <v>12.65</v>
      </c>
      <c r="S23">
        <v>304.8</v>
      </c>
      <c r="U23">
        <v>26.11</v>
      </c>
      <c r="V23">
        <v>278.13</v>
      </c>
      <c r="W23">
        <v>16.100000000000001</v>
      </c>
      <c r="X23">
        <v>10.26</v>
      </c>
      <c r="Y23">
        <v>1266.54</v>
      </c>
      <c r="Z23">
        <v>160.15</v>
      </c>
      <c r="AA23">
        <v>5965.07</v>
      </c>
      <c r="AB23">
        <v>526.09</v>
      </c>
      <c r="AC23">
        <v>9.84</v>
      </c>
      <c r="AD23">
        <v>9.84</v>
      </c>
      <c r="AE23">
        <v>10.26</v>
      </c>
      <c r="AF23">
        <v>10.56</v>
      </c>
      <c r="AG23">
        <v>-6.16</v>
      </c>
      <c r="AH23">
        <v>52.91</v>
      </c>
      <c r="AJ23">
        <v>9.84</v>
      </c>
      <c r="AL23">
        <v>10.26</v>
      </c>
      <c r="AM23">
        <v>1157.9100000000001</v>
      </c>
      <c r="AN23">
        <v>326.52</v>
      </c>
      <c r="AO23">
        <v>9.84</v>
      </c>
      <c r="AP23">
        <v>9.84</v>
      </c>
      <c r="AQ23">
        <v>106.93</v>
      </c>
      <c r="AR23">
        <v>-9.24</v>
      </c>
      <c r="AS23">
        <v>148.16</v>
      </c>
      <c r="AT23">
        <v>-6.16</v>
      </c>
      <c r="AV23">
        <v>11.9</v>
      </c>
      <c r="AW23">
        <v>352.71</v>
      </c>
      <c r="AX23">
        <v>-6.16</v>
      </c>
      <c r="AY23">
        <v>266.8</v>
      </c>
      <c r="AZ23">
        <v>9.4700000000000006</v>
      </c>
      <c r="BA23">
        <v>2.4</v>
      </c>
      <c r="BB23">
        <v>121.23</v>
      </c>
      <c r="BC23">
        <v>10.58</v>
      </c>
      <c r="BD23">
        <v>6448.74</v>
      </c>
      <c r="BE23">
        <v>5727.11</v>
      </c>
      <c r="BF23">
        <v>8079.18</v>
      </c>
      <c r="BG23">
        <v>-6.66</v>
      </c>
      <c r="BH23">
        <v>1832.18</v>
      </c>
      <c r="BI23">
        <v>323.56</v>
      </c>
      <c r="BJ23">
        <v>943.16</v>
      </c>
    </row>
    <row r="24" spans="1:63" x14ac:dyDescent="0.2">
      <c r="A24" s="113" t="s">
        <v>44</v>
      </c>
      <c r="E24">
        <v>39.93</v>
      </c>
      <c r="F24">
        <v>67.87</v>
      </c>
      <c r="H24">
        <v>21.45</v>
      </c>
      <c r="I24">
        <v>1033.58</v>
      </c>
      <c r="K24">
        <v>105.5</v>
      </c>
      <c r="L24">
        <v>19.23</v>
      </c>
      <c r="M24">
        <v>16.98</v>
      </c>
      <c r="N24">
        <v>10.51</v>
      </c>
      <c r="O24">
        <v>96.47</v>
      </c>
      <c r="P24">
        <v>72.83</v>
      </c>
      <c r="Q24">
        <v>349.41</v>
      </c>
      <c r="R24">
        <v>13.71</v>
      </c>
      <c r="S24">
        <v>130.87</v>
      </c>
      <c r="U24">
        <v>20.75</v>
      </c>
      <c r="V24">
        <v>111.09</v>
      </c>
      <c r="W24">
        <v>14.12</v>
      </c>
      <c r="X24">
        <v>10.26</v>
      </c>
      <c r="Y24">
        <v>557.47</v>
      </c>
      <c r="Z24">
        <v>47.05</v>
      </c>
      <c r="AA24">
        <v>3073.37</v>
      </c>
      <c r="AB24">
        <v>511.28</v>
      </c>
      <c r="AC24">
        <v>9.84</v>
      </c>
      <c r="AD24">
        <v>9.84</v>
      </c>
      <c r="AE24">
        <v>10.26</v>
      </c>
      <c r="AF24">
        <v>10.56</v>
      </c>
      <c r="AG24">
        <v>-9.24</v>
      </c>
      <c r="AH24">
        <v>50.06</v>
      </c>
      <c r="AJ24">
        <v>9.84</v>
      </c>
      <c r="AL24">
        <v>10.26</v>
      </c>
      <c r="AM24">
        <v>1286.24</v>
      </c>
      <c r="AN24">
        <v>71.23</v>
      </c>
      <c r="AO24">
        <v>9.84</v>
      </c>
      <c r="AP24">
        <v>9.84</v>
      </c>
      <c r="AQ24">
        <v>51.74</v>
      </c>
      <c r="AR24">
        <v>-12.32</v>
      </c>
      <c r="AS24">
        <v>50.81</v>
      </c>
      <c r="AT24">
        <v>-9.24</v>
      </c>
      <c r="AV24">
        <v>10.44</v>
      </c>
      <c r="AW24">
        <v>141.12</v>
      </c>
      <c r="AX24">
        <v>-9.24</v>
      </c>
      <c r="AY24">
        <v>79.709999999999994</v>
      </c>
      <c r="AZ24">
        <v>8.69</v>
      </c>
      <c r="BA24">
        <v>-156.9</v>
      </c>
      <c r="BB24">
        <v>70.72</v>
      </c>
      <c r="BC24">
        <v>10.58</v>
      </c>
      <c r="BD24">
        <v>6457.45</v>
      </c>
      <c r="BE24">
        <v>5619.88</v>
      </c>
      <c r="BF24">
        <v>7934.16</v>
      </c>
      <c r="BG24">
        <v>-9.99</v>
      </c>
      <c r="BH24">
        <v>1383.41</v>
      </c>
      <c r="BI24">
        <v>141.61000000000001</v>
      </c>
      <c r="BJ24">
        <v>67.87</v>
      </c>
    </row>
    <row r="25" spans="1:63" x14ac:dyDescent="0.2">
      <c r="A25" s="113" t="s">
        <v>45</v>
      </c>
      <c r="E25">
        <v>24.89</v>
      </c>
      <c r="F25">
        <v>9.84</v>
      </c>
      <c r="H25">
        <v>21.45</v>
      </c>
      <c r="I25">
        <v>214.13</v>
      </c>
      <c r="K25">
        <v>11.37</v>
      </c>
      <c r="L25">
        <v>16.98</v>
      </c>
      <c r="M25">
        <v>10.26</v>
      </c>
      <c r="N25">
        <v>10.51</v>
      </c>
      <c r="O25">
        <v>18.04</v>
      </c>
      <c r="P25">
        <v>28.65</v>
      </c>
      <c r="Q25">
        <v>23.81</v>
      </c>
      <c r="R25">
        <v>13.71</v>
      </c>
      <c r="S25">
        <v>10.51</v>
      </c>
      <c r="U25">
        <v>17.71</v>
      </c>
      <c r="V25">
        <v>15.85</v>
      </c>
      <c r="W25">
        <v>13.04</v>
      </c>
      <c r="X25">
        <v>10.26</v>
      </c>
      <c r="Y25">
        <v>34.159999999999997</v>
      </c>
      <c r="Z25">
        <v>10.51</v>
      </c>
      <c r="AA25">
        <v>201.84</v>
      </c>
      <c r="AB25">
        <v>73.930000000000007</v>
      </c>
      <c r="AC25">
        <v>9.84</v>
      </c>
      <c r="AD25">
        <v>9.84</v>
      </c>
      <c r="AE25">
        <v>10.26</v>
      </c>
      <c r="AF25">
        <v>10.56</v>
      </c>
      <c r="AG25">
        <v>-12.32</v>
      </c>
      <c r="AH25">
        <v>41.9</v>
      </c>
      <c r="AJ25">
        <v>10.91</v>
      </c>
      <c r="AL25">
        <v>10.26</v>
      </c>
      <c r="AM25">
        <v>10.26</v>
      </c>
      <c r="AN25">
        <v>7.42</v>
      </c>
      <c r="AO25">
        <v>9.84</v>
      </c>
      <c r="AP25">
        <v>8406.39</v>
      </c>
      <c r="AQ25">
        <v>207.55</v>
      </c>
      <c r="AR25">
        <v>-9.58</v>
      </c>
      <c r="AS25">
        <v>7.55</v>
      </c>
      <c r="AT25">
        <v>-12.32</v>
      </c>
      <c r="AV25">
        <v>11.9</v>
      </c>
      <c r="AW25">
        <v>20.329999999999998</v>
      </c>
      <c r="AX25">
        <v>-12.32</v>
      </c>
      <c r="AY25">
        <v>15.85</v>
      </c>
      <c r="AZ25">
        <v>8.69</v>
      </c>
      <c r="BA25">
        <v>-159.97999999999999</v>
      </c>
      <c r="BB25">
        <v>13.76</v>
      </c>
      <c r="BC25">
        <v>10.58</v>
      </c>
      <c r="BD25">
        <v>6473.58</v>
      </c>
      <c r="BE25">
        <v>5629.23</v>
      </c>
      <c r="BF25">
        <v>7951.94</v>
      </c>
      <c r="BG25">
        <v>-13.32</v>
      </c>
      <c r="BH25">
        <v>238.5</v>
      </c>
      <c r="BI25">
        <v>40.700000000000003</v>
      </c>
      <c r="BJ25">
        <v>10.88</v>
      </c>
    </row>
    <row r="26" spans="1:63" x14ac:dyDescent="0.2">
      <c r="A26" s="113" t="s">
        <v>46</v>
      </c>
      <c r="E26">
        <v>24.83</v>
      </c>
      <c r="F26">
        <v>9.84</v>
      </c>
      <c r="H26">
        <v>21.45</v>
      </c>
      <c r="I26">
        <v>10.26</v>
      </c>
      <c r="K26">
        <v>10.26</v>
      </c>
      <c r="L26">
        <v>19.89</v>
      </c>
      <c r="M26">
        <v>10.26</v>
      </c>
      <c r="N26">
        <v>10.51</v>
      </c>
      <c r="O26">
        <v>10.51</v>
      </c>
      <c r="P26">
        <v>20</v>
      </c>
      <c r="Q26">
        <v>10.99</v>
      </c>
      <c r="R26">
        <v>10.51</v>
      </c>
      <c r="S26">
        <v>10.51</v>
      </c>
      <c r="U26">
        <v>16.7</v>
      </c>
      <c r="V26">
        <v>16.25</v>
      </c>
      <c r="W26">
        <v>13.04</v>
      </c>
      <c r="X26">
        <v>10.26</v>
      </c>
      <c r="Y26">
        <v>38.19</v>
      </c>
      <c r="Z26">
        <v>11.66</v>
      </c>
      <c r="AA26">
        <v>219.27</v>
      </c>
      <c r="AB26">
        <v>83.16</v>
      </c>
      <c r="AC26">
        <v>9.84</v>
      </c>
      <c r="AD26">
        <v>9.84</v>
      </c>
      <c r="AE26">
        <v>10.26</v>
      </c>
      <c r="AF26">
        <v>10.56</v>
      </c>
      <c r="AG26">
        <v>-15.4</v>
      </c>
      <c r="AH26">
        <v>52.11</v>
      </c>
      <c r="AJ26">
        <v>9.84</v>
      </c>
      <c r="AL26">
        <v>10.26</v>
      </c>
      <c r="AM26">
        <v>10.26</v>
      </c>
      <c r="AN26">
        <v>8.24</v>
      </c>
      <c r="AO26">
        <v>9.84</v>
      </c>
      <c r="AP26">
        <v>74.33</v>
      </c>
      <c r="AQ26">
        <v>9.84</v>
      </c>
      <c r="AR26">
        <v>15.6</v>
      </c>
      <c r="AS26">
        <v>-3.08</v>
      </c>
      <c r="AT26">
        <v>-15.4</v>
      </c>
      <c r="AV26">
        <v>10.53</v>
      </c>
      <c r="AW26">
        <v>11.37</v>
      </c>
      <c r="AX26">
        <v>-15.4</v>
      </c>
      <c r="AY26">
        <v>10.26</v>
      </c>
      <c r="AZ26">
        <v>8.69</v>
      </c>
      <c r="BA26">
        <v>-163.06</v>
      </c>
      <c r="BB26">
        <v>-5.47</v>
      </c>
      <c r="BC26">
        <v>10.58</v>
      </c>
      <c r="BD26">
        <v>6490</v>
      </c>
      <c r="BE26">
        <v>5640.78</v>
      </c>
      <c r="BF26">
        <v>7986.06</v>
      </c>
      <c r="BG26">
        <v>-16.649999999999999</v>
      </c>
      <c r="BH26">
        <v>11.13</v>
      </c>
      <c r="BI26">
        <v>19.850000000000001</v>
      </c>
      <c r="BJ26">
        <v>10.88</v>
      </c>
    </row>
    <row r="27" spans="1:63" x14ac:dyDescent="0.2">
      <c r="A27" s="113" t="s">
        <v>47</v>
      </c>
      <c r="E27">
        <v>16.760000000000002</v>
      </c>
      <c r="F27">
        <v>19.079999999999998</v>
      </c>
      <c r="H27">
        <v>22.28</v>
      </c>
      <c r="I27">
        <v>10.26</v>
      </c>
      <c r="K27">
        <v>10.26</v>
      </c>
      <c r="L27">
        <v>18.68</v>
      </c>
      <c r="M27">
        <v>10.26</v>
      </c>
      <c r="N27">
        <v>11.66</v>
      </c>
      <c r="O27">
        <v>10.51</v>
      </c>
      <c r="P27">
        <v>17.63</v>
      </c>
      <c r="Q27">
        <v>10.99</v>
      </c>
      <c r="R27">
        <v>10.51</v>
      </c>
      <c r="S27">
        <v>10.51</v>
      </c>
      <c r="U27">
        <v>15.1</v>
      </c>
      <c r="V27">
        <v>15.06</v>
      </c>
      <c r="W27">
        <v>13.28</v>
      </c>
      <c r="X27">
        <v>10.26</v>
      </c>
      <c r="Y27">
        <v>34.74</v>
      </c>
      <c r="Z27">
        <v>10.51</v>
      </c>
      <c r="AA27">
        <v>203.2</v>
      </c>
      <c r="AB27">
        <v>78.59</v>
      </c>
      <c r="AC27">
        <v>9.84</v>
      </c>
      <c r="AD27">
        <v>15.6</v>
      </c>
      <c r="AE27">
        <v>20.52</v>
      </c>
      <c r="AF27">
        <v>10.56</v>
      </c>
      <c r="AG27">
        <v>-18.48</v>
      </c>
      <c r="AH27">
        <v>50.84</v>
      </c>
      <c r="AJ27">
        <v>10.99</v>
      </c>
      <c r="AL27">
        <v>46.35</v>
      </c>
      <c r="AM27">
        <v>13.84</v>
      </c>
      <c r="AN27">
        <v>-3.08</v>
      </c>
      <c r="AO27">
        <v>195.61</v>
      </c>
      <c r="AP27">
        <v>-54.65</v>
      </c>
      <c r="AQ27">
        <v>9.84</v>
      </c>
      <c r="AR27">
        <v>-3.08</v>
      </c>
      <c r="AS27">
        <v>-3.08</v>
      </c>
      <c r="AT27">
        <v>7.74</v>
      </c>
      <c r="AV27">
        <v>12.08</v>
      </c>
      <c r="AW27">
        <v>10.26</v>
      </c>
      <c r="AX27">
        <v>-18.48</v>
      </c>
      <c r="AY27">
        <v>10.26</v>
      </c>
      <c r="AZ27">
        <v>8.69</v>
      </c>
      <c r="BA27">
        <v>-166.14</v>
      </c>
      <c r="BB27">
        <v>5.09</v>
      </c>
      <c r="BC27">
        <v>10.58</v>
      </c>
      <c r="BD27">
        <v>6505.25</v>
      </c>
      <c r="BE27">
        <v>5639.16</v>
      </c>
      <c r="BF27">
        <v>8026.11</v>
      </c>
      <c r="BG27">
        <v>-8.2200000000000006</v>
      </c>
      <c r="BH27">
        <v>11.13</v>
      </c>
      <c r="BI27">
        <v>11.24</v>
      </c>
      <c r="BJ27">
        <v>10.88</v>
      </c>
      <c r="BK27">
        <v>-29.22</v>
      </c>
    </row>
    <row r="28" spans="1:63" x14ac:dyDescent="0.2">
      <c r="A28" s="113" t="s">
        <v>48</v>
      </c>
      <c r="E28">
        <v>13.29</v>
      </c>
      <c r="F28">
        <v>9.84</v>
      </c>
      <c r="H28">
        <v>21.07</v>
      </c>
      <c r="I28">
        <v>10.26</v>
      </c>
      <c r="K28">
        <v>10.26</v>
      </c>
      <c r="L28">
        <v>16.260000000000002</v>
      </c>
      <c r="M28">
        <v>10.26</v>
      </c>
      <c r="N28">
        <v>10.51</v>
      </c>
      <c r="O28">
        <v>10.51</v>
      </c>
      <c r="P28">
        <v>17.64</v>
      </c>
      <c r="Q28">
        <v>9.84</v>
      </c>
      <c r="R28">
        <v>10.51</v>
      </c>
      <c r="S28">
        <v>80.930000000000007</v>
      </c>
      <c r="U28">
        <v>16.72</v>
      </c>
      <c r="V28">
        <v>15.06</v>
      </c>
      <c r="W28">
        <v>12.14</v>
      </c>
      <c r="X28">
        <v>10.26</v>
      </c>
      <c r="Y28">
        <v>33.61</v>
      </c>
      <c r="Z28">
        <v>10.51</v>
      </c>
      <c r="AA28">
        <v>192.91</v>
      </c>
      <c r="AB28">
        <v>75.14</v>
      </c>
      <c r="AC28">
        <v>9.84</v>
      </c>
      <c r="AD28">
        <v>9.84</v>
      </c>
      <c r="AE28">
        <v>10.26</v>
      </c>
      <c r="AF28">
        <v>14</v>
      </c>
      <c r="AG28">
        <v>12.68</v>
      </c>
      <c r="AH28">
        <v>47.56</v>
      </c>
      <c r="AJ28">
        <v>9.84</v>
      </c>
      <c r="AL28">
        <v>2163.14</v>
      </c>
      <c r="AM28">
        <v>34188.300000000003</v>
      </c>
      <c r="AN28">
        <v>-6.16</v>
      </c>
      <c r="AO28">
        <v>27945.19</v>
      </c>
      <c r="AP28">
        <v>-36.729999999999997</v>
      </c>
      <c r="AQ28">
        <v>14.45</v>
      </c>
      <c r="AR28">
        <v>-3.25</v>
      </c>
      <c r="AS28">
        <v>2.2200000000000002</v>
      </c>
      <c r="AT28">
        <v>5.95</v>
      </c>
      <c r="AV28">
        <v>12.08</v>
      </c>
      <c r="AW28">
        <v>19.89</v>
      </c>
      <c r="AX28">
        <v>-21.56</v>
      </c>
      <c r="AY28">
        <v>10.26</v>
      </c>
      <c r="AZ28">
        <v>8.69</v>
      </c>
      <c r="BA28">
        <v>-130.96</v>
      </c>
      <c r="BB28">
        <v>10.56</v>
      </c>
      <c r="BC28">
        <v>10.58</v>
      </c>
      <c r="BD28">
        <v>6546.66</v>
      </c>
      <c r="BE28">
        <v>5644.81</v>
      </c>
      <c r="BF28">
        <v>8075.36</v>
      </c>
      <c r="BG28">
        <v>11.98</v>
      </c>
      <c r="BH28">
        <v>11.13</v>
      </c>
      <c r="BI28">
        <v>11.24</v>
      </c>
      <c r="BJ28">
        <v>10.88</v>
      </c>
    </row>
    <row r="29" spans="1:63" x14ac:dyDescent="0.2">
      <c r="A29" s="113" t="s">
        <v>49</v>
      </c>
      <c r="E29">
        <v>13.29</v>
      </c>
      <c r="F29">
        <v>9.84</v>
      </c>
      <c r="H29">
        <v>23.49</v>
      </c>
      <c r="I29">
        <v>10.26</v>
      </c>
      <c r="K29">
        <v>10.26</v>
      </c>
      <c r="L29">
        <v>17.47</v>
      </c>
      <c r="M29">
        <v>10.26</v>
      </c>
      <c r="N29">
        <v>10.51</v>
      </c>
      <c r="O29">
        <v>111.3</v>
      </c>
      <c r="P29">
        <v>17.649999999999999</v>
      </c>
      <c r="Q29">
        <v>17.93</v>
      </c>
      <c r="R29">
        <v>10.51</v>
      </c>
      <c r="S29">
        <v>739.19</v>
      </c>
      <c r="U29">
        <v>18.32</v>
      </c>
      <c r="V29">
        <v>15.06</v>
      </c>
      <c r="W29">
        <v>12.14</v>
      </c>
      <c r="X29">
        <v>10.26</v>
      </c>
      <c r="Y29">
        <v>35.92</v>
      </c>
      <c r="Z29">
        <v>11.66</v>
      </c>
      <c r="AA29">
        <v>224.15</v>
      </c>
      <c r="AB29">
        <v>80.959999999999994</v>
      </c>
      <c r="AC29">
        <v>9.84</v>
      </c>
      <c r="AD29">
        <v>9.84</v>
      </c>
      <c r="AE29">
        <v>10.26</v>
      </c>
      <c r="AF29">
        <v>33391.97</v>
      </c>
      <c r="AG29">
        <v>17594.080000000002</v>
      </c>
      <c r="AH29">
        <v>27556.41</v>
      </c>
      <c r="AJ29">
        <v>6115.12</v>
      </c>
      <c r="AL29">
        <v>33592.46</v>
      </c>
      <c r="AM29">
        <v>40984.21</v>
      </c>
      <c r="AN29">
        <v>18746.13</v>
      </c>
      <c r="AO29">
        <v>2609.5700000000002</v>
      </c>
      <c r="AP29">
        <v>35967.879999999997</v>
      </c>
      <c r="AQ29">
        <v>20623.55</v>
      </c>
      <c r="AR29">
        <v>23963.55</v>
      </c>
      <c r="AS29">
        <v>35354.99</v>
      </c>
      <c r="AT29">
        <v>20884.53</v>
      </c>
      <c r="AV29">
        <v>15.16</v>
      </c>
      <c r="AW29">
        <v>11.46</v>
      </c>
      <c r="AX29">
        <v>-24.64</v>
      </c>
      <c r="AY29">
        <v>11.46</v>
      </c>
      <c r="AZ29">
        <v>8.69</v>
      </c>
      <c r="BA29">
        <v>85047.49</v>
      </c>
      <c r="BB29">
        <v>10.56</v>
      </c>
      <c r="BC29">
        <v>10.58</v>
      </c>
      <c r="BD29">
        <v>6700.55</v>
      </c>
      <c r="BE29">
        <v>7294.34</v>
      </c>
      <c r="BF29">
        <v>8115.11</v>
      </c>
      <c r="BG29">
        <v>0</v>
      </c>
      <c r="BH29">
        <v>11.13</v>
      </c>
      <c r="BI29">
        <v>11.24</v>
      </c>
      <c r="BJ29">
        <v>14.68</v>
      </c>
    </row>
    <row r="30" spans="1:63" x14ac:dyDescent="0.2">
      <c r="A30" s="113" t="s">
        <v>50</v>
      </c>
      <c r="E30">
        <v>26.63</v>
      </c>
      <c r="F30">
        <v>23.54</v>
      </c>
      <c r="H30">
        <v>27.12</v>
      </c>
      <c r="I30">
        <v>71.650000000000006</v>
      </c>
      <c r="K30">
        <v>42.71</v>
      </c>
      <c r="L30">
        <v>23.54</v>
      </c>
      <c r="M30">
        <v>11.29</v>
      </c>
      <c r="N30">
        <v>11.56</v>
      </c>
      <c r="O30">
        <v>270.61</v>
      </c>
      <c r="P30">
        <v>17.66</v>
      </c>
      <c r="Q30">
        <v>124.36</v>
      </c>
      <c r="R30">
        <v>11.56</v>
      </c>
      <c r="S30">
        <v>1118.1400000000001</v>
      </c>
      <c r="U30">
        <v>23.43</v>
      </c>
      <c r="V30">
        <v>40984.21</v>
      </c>
      <c r="W30">
        <v>13.29</v>
      </c>
      <c r="X30">
        <v>10.26</v>
      </c>
      <c r="Y30">
        <v>427.82</v>
      </c>
      <c r="Z30">
        <v>37.67</v>
      </c>
      <c r="AA30">
        <v>4041.55</v>
      </c>
      <c r="AB30">
        <v>200.05</v>
      </c>
      <c r="AC30">
        <v>9.84</v>
      </c>
      <c r="AD30">
        <v>11.29</v>
      </c>
      <c r="AE30">
        <v>11.29</v>
      </c>
      <c r="AF30">
        <v>44529.32</v>
      </c>
      <c r="AG30">
        <v>55991.03</v>
      </c>
      <c r="AH30">
        <v>50592.61</v>
      </c>
      <c r="AJ30">
        <v>21136.45</v>
      </c>
      <c r="AL30">
        <v>0</v>
      </c>
      <c r="AM30">
        <v>52.07</v>
      </c>
      <c r="AN30">
        <v>0</v>
      </c>
      <c r="AO30">
        <v>27333.39</v>
      </c>
      <c r="AP30">
        <v>119229.8</v>
      </c>
      <c r="AQ30">
        <v>51824.24</v>
      </c>
      <c r="AR30">
        <v>0</v>
      </c>
      <c r="AS30">
        <v>0</v>
      </c>
      <c r="AT30">
        <v>56366.16</v>
      </c>
      <c r="AV30">
        <v>14.2</v>
      </c>
      <c r="AW30">
        <v>-24.72</v>
      </c>
      <c r="AX30">
        <v>-27.72</v>
      </c>
      <c r="AY30">
        <v>67.39</v>
      </c>
      <c r="AZ30">
        <v>8.69</v>
      </c>
      <c r="BA30">
        <v>181562.73</v>
      </c>
      <c r="BB30">
        <v>20.94</v>
      </c>
      <c r="BC30">
        <v>10.58</v>
      </c>
      <c r="BD30">
        <v>6642.7</v>
      </c>
      <c r="BE30">
        <v>5684.26</v>
      </c>
      <c r="BF30">
        <v>8141.34</v>
      </c>
      <c r="BG30">
        <v>52960.42</v>
      </c>
      <c r="BH30">
        <v>44.61</v>
      </c>
      <c r="BI30">
        <v>17.82</v>
      </c>
      <c r="BJ30">
        <v>27.87</v>
      </c>
    </row>
    <row r="31" spans="1:63" x14ac:dyDescent="0.2">
      <c r="A31" s="113" t="s">
        <v>51</v>
      </c>
      <c r="E31">
        <v>54.86</v>
      </c>
      <c r="F31">
        <v>354.45</v>
      </c>
      <c r="H31">
        <v>196.74</v>
      </c>
      <c r="I31">
        <v>878.55</v>
      </c>
      <c r="K31">
        <v>223.11</v>
      </c>
      <c r="L31">
        <v>19.260000000000002</v>
      </c>
      <c r="M31">
        <v>51.05</v>
      </c>
      <c r="N31">
        <v>10.79</v>
      </c>
      <c r="O31">
        <v>381.91</v>
      </c>
      <c r="P31">
        <v>22.56</v>
      </c>
      <c r="Q31">
        <v>538.66999999999996</v>
      </c>
      <c r="R31">
        <v>9.4600000000000009</v>
      </c>
      <c r="S31">
        <v>1260.54</v>
      </c>
      <c r="U31">
        <v>44.42</v>
      </c>
      <c r="V31">
        <v>124692.4</v>
      </c>
      <c r="W31">
        <v>16.5</v>
      </c>
      <c r="X31">
        <v>10.26</v>
      </c>
      <c r="Y31">
        <v>1668.96</v>
      </c>
      <c r="Z31">
        <v>303.83999999999997</v>
      </c>
      <c r="AA31">
        <v>8289.77</v>
      </c>
      <c r="AB31">
        <v>759.13</v>
      </c>
      <c r="AC31">
        <v>10.91</v>
      </c>
      <c r="AD31">
        <v>9.23</v>
      </c>
      <c r="AE31">
        <v>9.23</v>
      </c>
      <c r="AF31">
        <v>2853.2</v>
      </c>
      <c r="AG31">
        <v>2566.08</v>
      </c>
      <c r="AH31">
        <v>4008.52</v>
      </c>
      <c r="AJ31">
        <v>12237.25</v>
      </c>
      <c r="AL31">
        <v>0</v>
      </c>
      <c r="AM31">
        <v>-3.44</v>
      </c>
      <c r="AN31">
        <v>11070.33</v>
      </c>
      <c r="AO31">
        <v>75791.17</v>
      </c>
      <c r="AP31">
        <v>21406</v>
      </c>
      <c r="AQ31">
        <v>12017.97</v>
      </c>
      <c r="AR31">
        <v>0</v>
      </c>
      <c r="AS31">
        <v>0</v>
      </c>
      <c r="AT31">
        <v>12879.19</v>
      </c>
      <c r="AV31">
        <v>10.73</v>
      </c>
      <c r="AW31">
        <v>109.21</v>
      </c>
      <c r="AX31">
        <v>0</v>
      </c>
      <c r="AY31">
        <v>286.81</v>
      </c>
      <c r="AZ31">
        <v>8.69</v>
      </c>
      <c r="BA31">
        <v>181587.66</v>
      </c>
      <c r="BB31">
        <v>88.11</v>
      </c>
      <c r="BC31">
        <v>10.58</v>
      </c>
      <c r="BD31">
        <v>6619.75</v>
      </c>
      <c r="BG31">
        <v>64751.35</v>
      </c>
      <c r="BH31">
        <v>4514.34</v>
      </c>
      <c r="BI31">
        <v>273.13</v>
      </c>
      <c r="BJ31">
        <v>1062.46</v>
      </c>
    </row>
    <row r="32" spans="1:63" x14ac:dyDescent="0.2">
      <c r="A32" s="113" t="s">
        <v>52</v>
      </c>
      <c r="E32">
        <v>87.55</v>
      </c>
      <c r="F32">
        <v>465.19</v>
      </c>
      <c r="H32">
        <v>361.05</v>
      </c>
      <c r="I32">
        <v>1769.42</v>
      </c>
      <c r="K32">
        <v>359.54</v>
      </c>
      <c r="L32">
        <v>30.23</v>
      </c>
      <c r="M32">
        <v>118.3</v>
      </c>
      <c r="N32">
        <v>9.5399999999999991</v>
      </c>
      <c r="O32">
        <v>292.16000000000003</v>
      </c>
      <c r="P32">
        <v>48.6</v>
      </c>
      <c r="Q32">
        <v>1059.75</v>
      </c>
      <c r="R32">
        <v>9.5399999999999991</v>
      </c>
      <c r="S32">
        <v>1395.93</v>
      </c>
      <c r="U32">
        <v>24.45</v>
      </c>
      <c r="V32">
        <v>309.63</v>
      </c>
      <c r="W32">
        <v>16.510000000000002</v>
      </c>
      <c r="X32">
        <v>10.26</v>
      </c>
      <c r="Y32">
        <v>2460.86</v>
      </c>
      <c r="Z32">
        <v>578.38</v>
      </c>
      <c r="AA32">
        <v>1090.77</v>
      </c>
      <c r="AB32">
        <v>1235.7</v>
      </c>
      <c r="AC32">
        <v>8.93</v>
      </c>
      <c r="AD32">
        <v>9.25</v>
      </c>
      <c r="AE32">
        <v>9.25</v>
      </c>
      <c r="AF32">
        <v>6.91</v>
      </c>
      <c r="AG32">
        <v>3689.12</v>
      </c>
      <c r="AH32">
        <v>29.41</v>
      </c>
      <c r="AJ32">
        <v>0</v>
      </c>
      <c r="AL32">
        <v>2131.35</v>
      </c>
      <c r="AM32">
        <v>490.39</v>
      </c>
      <c r="AN32">
        <v>39064.949999999997</v>
      </c>
      <c r="AO32">
        <v>9.25</v>
      </c>
      <c r="AP32">
        <v>4345.5</v>
      </c>
      <c r="AQ32">
        <v>153.31</v>
      </c>
      <c r="AR32">
        <v>6344.28</v>
      </c>
      <c r="AS32">
        <v>29757.25</v>
      </c>
      <c r="AT32">
        <v>-3.21</v>
      </c>
      <c r="AV32">
        <v>11.99</v>
      </c>
      <c r="AW32">
        <v>413.07</v>
      </c>
      <c r="AX32">
        <v>0</v>
      </c>
      <c r="AY32">
        <v>633.65</v>
      </c>
      <c r="AZ32">
        <v>8.19</v>
      </c>
      <c r="BA32">
        <v>180212.34</v>
      </c>
      <c r="BB32">
        <v>119.77</v>
      </c>
      <c r="BC32">
        <v>9.52</v>
      </c>
      <c r="BD32">
        <v>6625.12</v>
      </c>
      <c r="BE32">
        <v>5701.79</v>
      </c>
      <c r="BF32">
        <v>8208.51</v>
      </c>
      <c r="BG32">
        <v>20502.21</v>
      </c>
      <c r="BH32">
        <v>4704</v>
      </c>
      <c r="BI32">
        <v>494.74</v>
      </c>
    </row>
    <row r="33" spans="1:63" ht="13.5" thickBot="1" x14ac:dyDescent="0.25">
      <c r="A33" s="106" t="s">
        <v>58</v>
      </c>
      <c r="B33" s="116">
        <f>SUM(B21:B32)</f>
        <v>0</v>
      </c>
      <c r="C33" s="116">
        <f>SUM(C21:C32)</f>
        <v>0</v>
      </c>
      <c r="D33" s="116"/>
      <c r="E33" s="116">
        <f t="shared" ref="E33:BF33" si="6">SUM(E21:E32)</f>
        <v>603.57999999999993</v>
      </c>
      <c r="F33" s="116">
        <f t="shared" si="6"/>
        <v>1909.85</v>
      </c>
      <c r="G33" s="117">
        <f t="shared" si="6"/>
        <v>0</v>
      </c>
      <c r="H33" s="116">
        <f t="shared" si="6"/>
        <v>2124.1400000000003</v>
      </c>
      <c r="I33" s="117">
        <f t="shared" si="6"/>
        <v>7870.1100000000006</v>
      </c>
      <c r="J33" s="118">
        <f t="shared" si="6"/>
        <v>0</v>
      </c>
      <c r="K33" s="117">
        <f t="shared" si="6"/>
        <v>1685.94</v>
      </c>
      <c r="L33" s="117">
        <f t="shared" si="6"/>
        <v>366.09</v>
      </c>
      <c r="M33" s="117">
        <f t="shared" si="6"/>
        <v>473.21</v>
      </c>
      <c r="N33" s="117">
        <f t="shared" si="6"/>
        <v>128.69999999999999</v>
      </c>
      <c r="O33" s="119">
        <f t="shared" si="6"/>
        <v>1911.88</v>
      </c>
      <c r="P33" s="117">
        <f t="shared" si="6"/>
        <v>549.4</v>
      </c>
      <c r="Q33" s="119">
        <f t="shared" si="6"/>
        <v>3955.8399999999997</v>
      </c>
      <c r="R33" s="119">
        <f t="shared" si="6"/>
        <v>145.16000000000003</v>
      </c>
      <c r="S33" s="119">
        <f t="shared" si="6"/>
        <v>6807.670000000001</v>
      </c>
      <c r="T33" s="117">
        <f t="shared" si="6"/>
        <v>0</v>
      </c>
      <c r="U33" s="119">
        <f t="shared" si="6"/>
        <v>277.32</v>
      </c>
      <c r="V33" s="119">
        <f t="shared" si="6"/>
        <v>167387.79</v>
      </c>
      <c r="W33" s="117">
        <f t="shared" si="6"/>
        <v>176.42999999999998</v>
      </c>
      <c r="X33" s="119">
        <f t="shared" si="6"/>
        <v>128.48000000000002</v>
      </c>
      <c r="Y33" s="119">
        <f t="shared" si="6"/>
        <v>10465.16</v>
      </c>
      <c r="Z33" s="119">
        <f t="shared" si="6"/>
        <v>2013.3400000000001</v>
      </c>
      <c r="AA33" s="119">
        <f t="shared" si="6"/>
        <v>41503.189999999995</v>
      </c>
      <c r="AB33" s="119">
        <f t="shared" si="6"/>
        <v>6012.13</v>
      </c>
      <c r="AC33" s="119">
        <f>SUM(AC21:AC32)</f>
        <v>123.38000000000002</v>
      </c>
      <c r="AD33" s="119">
        <f>SUM(AD21:AD32)</f>
        <v>143.92000000000002</v>
      </c>
      <c r="AE33" s="119"/>
      <c r="AF33" s="119">
        <f>SUM(AF21:AF32)</f>
        <v>81013.48</v>
      </c>
      <c r="AG33" s="119">
        <f>SUM(AG21:AG32)</f>
        <v>79788.31</v>
      </c>
      <c r="AH33" s="119">
        <f>SUM(AH21:AH32)</f>
        <v>84305.38</v>
      </c>
      <c r="AI33" s="119">
        <f>SUM(AI21:AI32)</f>
        <v>0</v>
      </c>
      <c r="AJ33" s="119">
        <f>SUM(AJ21:AJ32)</f>
        <v>39574.9</v>
      </c>
      <c r="AK33" s="119">
        <f t="shared" si="6"/>
        <v>0</v>
      </c>
      <c r="AL33" s="119">
        <f t="shared" si="6"/>
        <v>18409.239999999991</v>
      </c>
      <c r="AM33" s="117">
        <f t="shared" si="6"/>
        <v>79201.23</v>
      </c>
      <c r="AN33" s="117">
        <f t="shared" si="6"/>
        <v>70932.790000000008</v>
      </c>
      <c r="AO33" s="119">
        <f t="shared" si="6"/>
        <v>133943.22</v>
      </c>
      <c r="AP33" s="119">
        <f t="shared" si="6"/>
        <v>190014.23</v>
      </c>
      <c r="AQ33" s="119">
        <f t="shared" si="6"/>
        <v>85288.9</v>
      </c>
      <c r="AR33" s="119">
        <f t="shared" si="6"/>
        <v>30276.719999999998</v>
      </c>
      <c r="AS33" s="119">
        <f t="shared" si="6"/>
        <v>67062.009999999995</v>
      </c>
      <c r="AT33" s="119">
        <f t="shared" si="6"/>
        <v>90098.81</v>
      </c>
      <c r="AU33" s="119">
        <f t="shared" si="6"/>
        <v>0</v>
      </c>
      <c r="AV33" s="119">
        <f t="shared" si="6"/>
        <v>143.22</v>
      </c>
      <c r="AW33" s="119">
        <f t="shared" si="6"/>
        <v>2048.37</v>
      </c>
      <c r="AX33" s="119">
        <f>SUM(AX21:AX32)</f>
        <v>-138.60000000000002</v>
      </c>
      <c r="AY33" s="119">
        <f t="shared" si="6"/>
        <v>2542.4899999999998</v>
      </c>
      <c r="AZ33" s="119">
        <f t="shared" si="6"/>
        <v>105.42999999999998</v>
      </c>
      <c r="BA33" s="119">
        <f t="shared" si="6"/>
        <v>627950.62</v>
      </c>
      <c r="BB33" s="119">
        <f t="shared" si="6"/>
        <v>825.57999999999993</v>
      </c>
      <c r="BC33" s="119">
        <f t="shared" si="6"/>
        <v>130.82</v>
      </c>
      <c r="BD33" s="119">
        <f t="shared" si="6"/>
        <v>78407.28</v>
      </c>
      <c r="BE33" s="119">
        <f t="shared" si="6"/>
        <v>63920.929999999993</v>
      </c>
      <c r="BF33" s="119">
        <f t="shared" si="6"/>
        <v>88515.359999999986</v>
      </c>
      <c r="BG33" s="119">
        <f>SUM(BG21:BG32)</f>
        <v>138167.78999999998</v>
      </c>
      <c r="BH33" s="119">
        <f>SUM(BH21:BH32)</f>
        <v>17915.93</v>
      </c>
      <c r="BI33" s="119">
        <f>SUM(BI21:BI32)</f>
        <v>2489.7799999999997</v>
      </c>
      <c r="BJ33" s="119">
        <f>SUM(BJ21:BJ32)</f>
        <v>5939.6600000000008</v>
      </c>
      <c r="BK33" s="119">
        <f>SUM(BK21:BK32)</f>
        <v>-29.22</v>
      </c>
    </row>
    <row r="34" spans="1:63" ht="13.5" thickTop="1" x14ac:dyDescent="0.2">
      <c r="A34" s="120"/>
      <c r="B34" s="120" t="str">
        <f t="shared" ref="B34:AY34" si="7">IF(B16=0,"",(B33/B16))</f>
        <v/>
      </c>
      <c r="C34" s="120" t="str">
        <f t="shared" si="7"/>
        <v/>
      </c>
      <c r="D34" s="120" t="str">
        <f t="shared" si="7"/>
        <v/>
      </c>
      <c r="E34" s="120">
        <f t="shared" si="7"/>
        <v>1.4235377358490564</v>
      </c>
      <c r="F34" s="120">
        <f t="shared" si="7"/>
        <v>1.2690033222591361</v>
      </c>
      <c r="G34" s="120" t="str">
        <f t="shared" si="7"/>
        <v/>
      </c>
      <c r="H34" s="120">
        <f t="shared" si="7"/>
        <v>1.2472930123311805</v>
      </c>
      <c r="I34" s="120">
        <f t="shared" si="7"/>
        <v>1.216024412855377</v>
      </c>
      <c r="J34" s="120" t="str">
        <f t="shared" si="7"/>
        <v/>
      </c>
      <c r="K34" s="120">
        <f t="shared" si="7"/>
        <v>1.292898773006135</v>
      </c>
      <c r="L34" s="120">
        <f t="shared" si="7"/>
        <v>1.7350236966824644</v>
      </c>
      <c r="M34" s="120">
        <f t="shared" si="7"/>
        <v>1.6261512027491409</v>
      </c>
      <c r="N34" s="120">
        <f t="shared" si="7"/>
        <v>42.9</v>
      </c>
      <c r="O34" s="120">
        <f t="shared" si="7"/>
        <v>1.5774587458745875</v>
      </c>
      <c r="P34" s="120">
        <f t="shared" si="7"/>
        <v>1.6852760736196319</v>
      </c>
      <c r="Q34" s="120">
        <f t="shared" si="7"/>
        <v>1.2064165904239097</v>
      </c>
      <c r="R34" s="120">
        <f t="shared" si="7"/>
        <v>7.6400000000000015</v>
      </c>
      <c r="S34" s="120">
        <f t="shared" si="7"/>
        <v>1.238208439432521</v>
      </c>
      <c r="T34" s="120" t="str">
        <f t="shared" si="7"/>
        <v/>
      </c>
      <c r="U34" s="120">
        <f t="shared" si="7"/>
        <v>3.0474725274725274</v>
      </c>
      <c r="V34" s="120">
        <f t="shared" si="7"/>
        <v>1.2549033264111196</v>
      </c>
      <c r="W34" s="120">
        <f t="shared" si="7"/>
        <v>3.753829787234042</v>
      </c>
      <c r="X34" s="120" t="str">
        <f t="shared" si="7"/>
        <v/>
      </c>
      <c r="Y34" s="120">
        <f t="shared" si="7"/>
        <v>1.1775807359063801</v>
      </c>
      <c r="Z34" s="120">
        <f t="shared" si="7"/>
        <v>1.2520771144278608</v>
      </c>
      <c r="AA34" s="120">
        <f t="shared" si="7"/>
        <v>0.93234168257890593</v>
      </c>
      <c r="AB34" s="120">
        <f t="shared" si="7"/>
        <v>1.1772332093205404</v>
      </c>
      <c r="AC34" s="120" t="str">
        <f t="shared" si="7"/>
        <v/>
      </c>
      <c r="AD34" s="120">
        <f t="shared" si="7"/>
        <v>5.996666666666667</v>
      </c>
      <c r="AE34" s="120" t="str">
        <f t="shared" si="7"/>
        <v/>
      </c>
      <c r="AF34" s="120">
        <f t="shared" si="7"/>
        <v>1.078124110030209</v>
      </c>
      <c r="AG34" s="120">
        <f t="shared" si="7"/>
        <v>1.008663514658104</v>
      </c>
      <c r="AH34" s="120">
        <f t="shared" si="7"/>
        <v>0.97518108523903724</v>
      </c>
      <c r="AI34" s="120" t="str">
        <f t="shared" si="7"/>
        <v/>
      </c>
      <c r="AJ34" s="120">
        <f t="shared" si="7"/>
        <v>1.1621560508618918</v>
      </c>
      <c r="AK34" s="120" t="str">
        <f t="shared" si="7"/>
        <v/>
      </c>
      <c r="AL34" s="120">
        <f t="shared" si="7"/>
        <v>0.58251558396354752</v>
      </c>
      <c r="AM34" s="120">
        <f t="shared" si="7"/>
        <v>1.1170993949138914</v>
      </c>
      <c r="AN34" s="120">
        <f t="shared" si="7"/>
        <v>1.7220458352552743</v>
      </c>
      <c r="AO34" s="120">
        <f t="shared" si="7"/>
        <v>1.5514359182255169</v>
      </c>
      <c r="AP34" s="120">
        <f t="shared" si="7"/>
        <v>1.0789642151407091</v>
      </c>
      <c r="AQ34" s="120">
        <f t="shared" si="7"/>
        <v>1.1006439540585882</v>
      </c>
      <c r="AR34" s="120">
        <f t="shared" si="7"/>
        <v>1.0195211637539145</v>
      </c>
      <c r="AS34" s="120">
        <f t="shared" si="7"/>
        <v>0.14782210299625054</v>
      </c>
      <c r="AT34" s="120">
        <f t="shared" si="7"/>
        <v>1.0235011927751902</v>
      </c>
      <c r="AU34" s="120" t="str">
        <f t="shared" si="7"/>
        <v/>
      </c>
      <c r="AV34" s="120">
        <f t="shared" si="7"/>
        <v>6.2269565217391305</v>
      </c>
      <c r="AW34" s="120">
        <f t="shared" si="7"/>
        <v>1.2149288256227757</v>
      </c>
      <c r="AX34" s="120" t="str">
        <f t="shared" si="7"/>
        <v/>
      </c>
      <c r="AY34" s="120">
        <f t="shared" si="7"/>
        <v>1.2630352707401886</v>
      </c>
      <c r="AZ34" s="120"/>
      <c r="BA34" s="120"/>
      <c r="BB34" s="120"/>
      <c r="BC34" s="120"/>
      <c r="BD34" s="1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4"/>
  <sheetViews>
    <sheetView workbookViewId="0">
      <selection activeCell="AZ1" sqref="AZ1"/>
    </sheetView>
  </sheetViews>
  <sheetFormatPr defaultRowHeight="12.75" x14ac:dyDescent="0.2"/>
  <cols>
    <col min="5" max="5" width="24" customWidth="1"/>
    <col min="6" max="6" width="21.28515625" customWidth="1"/>
    <col min="8" max="8" width="26.28515625" customWidth="1"/>
    <col min="9" max="9" width="21.7109375" customWidth="1"/>
    <col min="11" max="11" width="23.5703125" customWidth="1"/>
    <col min="12" max="12" width="22" customWidth="1"/>
    <col min="13" max="13" width="22.140625" customWidth="1"/>
    <col min="14" max="14" width="21.140625" customWidth="1"/>
    <col min="15" max="15" width="23.42578125" customWidth="1"/>
    <col min="16" max="16" width="27.42578125" customWidth="1"/>
    <col min="17" max="17" width="20.85546875" customWidth="1"/>
    <col min="18" max="18" width="21.85546875" customWidth="1"/>
    <col min="19" max="19" width="20.140625" customWidth="1"/>
    <col min="21" max="21" width="20.7109375" customWidth="1"/>
    <col min="22" max="22" width="21" customWidth="1"/>
    <col min="23" max="23" width="23.7109375" customWidth="1"/>
    <col min="24" max="24" width="20.7109375" customWidth="1"/>
    <col min="25" max="25" width="23.42578125" customWidth="1"/>
    <col min="26" max="26" width="24.140625" customWidth="1"/>
    <col min="27" max="27" width="21.28515625" customWidth="1"/>
    <col min="28" max="28" width="22.5703125" customWidth="1"/>
    <col min="29" max="29" width="18.7109375" customWidth="1"/>
    <col min="30" max="30" width="23.5703125" customWidth="1"/>
    <col min="31" max="31" width="21.7109375" customWidth="1"/>
    <col min="32" max="32" width="22.5703125" customWidth="1"/>
    <col min="33" max="33" width="24.42578125" customWidth="1"/>
    <col min="34" max="34" width="27.5703125" customWidth="1"/>
    <col min="36" max="36" width="27.7109375" customWidth="1"/>
    <col min="38" max="38" width="21.85546875" customWidth="1"/>
    <col min="39" max="39" width="19.28515625" customWidth="1"/>
    <col min="40" max="40" width="26.28515625" customWidth="1"/>
    <col min="41" max="41" width="19.7109375" customWidth="1"/>
    <col min="42" max="42" width="26.42578125" customWidth="1"/>
    <col min="43" max="43" width="21.85546875" customWidth="1"/>
    <col min="44" max="44" width="23.28515625" customWidth="1"/>
    <col min="45" max="45" width="21.140625" customWidth="1"/>
    <col min="46" max="46" width="21.85546875" customWidth="1"/>
    <col min="48" max="48" width="21.140625" customWidth="1"/>
    <col min="49" max="49" width="24.140625" customWidth="1"/>
    <col min="50" max="50" width="28.5703125" customWidth="1"/>
    <col min="51" max="51" width="21.28515625" customWidth="1"/>
    <col min="52" max="52" width="22.42578125" customWidth="1"/>
    <col min="53" max="53" width="25.7109375" customWidth="1"/>
    <col min="54" max="54" width="24.7109375" customWidth="1"/>
    <col min="55" max="55" width="22.7109375" customWidth="1"/>
    <col min="56" max="56" width="21" customWidth="1"/>
    <col min="57" max="57" width="25.42578125" customWidth="1"/>
    <col min="58" max="58" width="21.7109375" customWidth="1"/>
    <col min="59" max="59" width="24" customWidth="1"/>
    <col min="60" max="60" width="29.5703125" customWidth="1"/>
    <col min="61" max="61" width="30.42578125" customWidth="1"/>
    <col min="62" max="62" width="25.42578125" customWidth="1"/>
    <col min="63" max="63" width="14.5703125" customWidth="1"/>
    <col min="64" max="70" width="14.42578125" customWidth="1"/>
  </cols>
  <sheetData>
    <row r="1" spans="1:70" x14ac:dyDescent="0.2">
      <c r="A1" s="1" t="s">
        <v>64</v>
      </c>
      <c r="B1" s="47">
        <v>594386</v>
      </c>
      <c r="C1" s="26">
        <v>1588956</v>
      </c>
      <c r="D1" s="26"/>
      <c r="E1" s="48" t="s">
        <v>121</v>
      </c>
      <c r="F1" s="48" t="s">
        <v>118</v>
      </c>
      <c r="G1" s="48">
        <v>105744</v>
      </c>
      <c r="H1" s="49" t="s">
        <v>127</v>
      </c>
      <c r="I1" s="26" t="s">
        <v>126</v>
      </c>
      <c r="J1" s="48">
        <v>263754</v>
      </c>
      <c r="K1" s="48" t="s">
        <v>116</v>
      </c>
      <c r="L1" s="26" t="s">
        <v>117</v>
      </c>
      <c r="M1" s="26" t="s">
        <v>115</v>
      </c>
      <c r="N1" s="26" t="s">
        <v>103</v>
      </c>
      <c r="O1" s="26" t="s">
        <v>105</v>
      </c>
      <c r="P1" s="26" t="s">
        <v>112</v>
      </c>
      <c r="Q1" s="26" t="s">
        <v>111</v>
      </c>
      <c r="R1" s="26" t="s">
        <v>109</v>
      </c>
      <c r="S1" s="26" t="s">
        <v>104</v>
      </c>
      <c r="T1" s="26">
        <v>647856</v>
      </c>
      <c r="U1" s="26" t="s">
        <v>101</v>
      </c>
      <c r="V1" s="26" t="s">
        <v>138</v>
      </c>
      <c r="W1" s="26" t="s">
        <v>129</v>
      </c>
      <c r="X1" s="26" t="s">
        <v>123</v>
      </c>
      <c r="Y1" s="26" t="s">
        <v>107</v>
      </c>
      <c r="Z1" s="26" t="s">
        <v>108</v>
      </c>
      <c r="AA1" s="26" t="s">
        <v>110</v>
      </c>
      <c r="AB1" s="26" t="s">
        <v>106</v>
      </c>
      <c r="AC1" s="50" t="s">
        <v>113</v>
      </c>
      <c r="AD1" s="50" t="s">
        <v>119</v>
      </c>
      <c r="AE1" s="26" t="s">
        <v>120</v>
      </c>
      <c r="AF1" s="50" t="s">
        <v>128</v>
      </c>
      <c r="AG1" s="51" t="s">
        <v>125</v>
      </c>
      <c r="AH1" s="50" t="s">
        <v>134</v>
      </c>
      <c r="AI1" s="52">
        <v>749339</v>
      </c>
      <c r="AJ1" s="53" t="s">
        <v>130</v>
      </c>
      <c r="AK1" s="54">
        <v>765933</v>
      </c>
      <c r="AL1" s="53" t="s">
        <v>136</v>
      </c>
      <c r="AM1" s="53" t="s">
        <v>137</v>
      </c>
      <c r="AN1" s="53" t="s">
        <v>140</v>
      </c>
      <c r="AO1" s="53" t="s">
        <v>131</v>
      </c>
      <c r="AP1" s="53" t="s">
        <v>132</v>
      </c>
      <c r="AQ1" s="53" t="s">
        <v>133</v>
      </c>
      <c r="AR1" s="53" t="s">
        <v>139</v>
      </c>
      <c r="AS1" s="53" t="s">
        <v>144</v>
      </c>
      <c r="AT1" s="53" t="s">
        <v>146</v>
      </c>
      <c r="AU1" s="48">
        <v>1060882</v>
      </c>
      <c r="AV1" s="26" t="s">
        <v>95</v>
      </c>
      <c r="AW1" s="7" t="s">
        <v>122</v>
      </c>
      <c r="AX1" s="44" t="s">
        <v>135</v>
      </c>
      <c r="AY1" s="7" t="s">
        <v>93</v>
      </c>
      <c r="AZ1" s="7" t="s">
        <v>94</v>
      </c>
      <c r="BA1" s="7" t="s">
        <v>145</v>
      </c>
      <c r="BB1" s="7" t="s">
        <v>124</v>
      </c>
      <c r="BC1" s="1" t="s">
        <v>114</v>
      </c>
      <c r="BD1" s="1" t="s">
        <v>97</v>
      </c>
      <c r="BE1" s="7" t="s">
        <v>142</v>
      </c>
      <c r="BF1" s="7" t="s">
        <v>143</v>
      </c>
      <c r="BG1" s="7" t="s">
        <v>141</v>
      </c>
      <c r="BH1" s="7" t="s">
        <v>102</v>
      </c>
      <c r="BI1" s="7" t="s">
        <v>100</v>
      </c>
      <c r="BJ1" s="7" t="s">
        <v>96</v>
      </c>
      <c r="BK1" s="7" t="s">
        <v>91</v>
      </c>
      <c r="BL1" s="7">
        <v>210100291062</v>
      </c>
      <c r="BM1" s="7">
        <v>210100699244</v>
      </c>
      <c r="BN1" s="7"/>
      <c r="BO1" s="7"/>
      <c r="BP1" s="7"/>
      <c r="BQ1" s="7"/>
      <c r="BR1" s="7"/>
    </row>
    <row r="2" spans="1:70" ht="51" x14ac:dyDescent="0.2">
      <c r="A2" s="99">
        <v>2023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80</v>
      </c>
      <c r="BE2" s="105" t="s">
        <v>99</v>
      </c>
      <c r="BF2" s="105" t="s">
        <v>98</v>
      </c>
      <c r="BG2" s="105" t="s">
        <v>84</v>
      </c>
      <c r="BH2" s="105" t="s">
        <v>85</v>
      </c>
      <c r="BI2" s="105" t="s">
        <v>88</v>
      </c>
      <c r="BJ2" s="105" t="s">
        <v>90</v>
      </c>
      <c r="BK2" s="105" t="s">
        <v>84</v>
      </c>
      <c r="BL2" s="105" t="s">
        <v>84</v>
      </c>
      <c r="BM2" s="105" t="s">
        <v>147</v>
      </c>
      <c r="BN2" s="105"/>
      <c r="BO2" s="105"/>
      <c r="BP2" s="105"/>
      <c r="BQ2" s="105"/>
      <c r="BR2" s="105"/>
    </row>
    <row r="3" spans="1:70" x14ac:dyDescent="0.2">
      <c r="A3" s="26" t="s">
        <v>59</v>
      </c>
      <c r="E3">
        <v>77</v>
      </c>
      <c r="F3">
        <v>318</v>
      </c>
      <c r="H3">
        <v>454</v>
      </c>
      <c r="I3">
        <v>1495</v>
      </c>
      <c r="K3">
        <v>284</v>
      </c>
      <c r="L3">
        <v>10</v>
      </c>
      <c r="M3">
        <v>71</v>
      </c>
      <c r="N3">
        <v>0</v>
      </c>
      <c r="O3">
        <v>231</v>
      </c>
      <c r="P3">
        <v>44</v>
      </c>
      <c r="Q3">
        <v>1025</v>
      </c>
      <c r="R3">
        <v>30</v>
      </c>
      <c r="S3">
        <v>1087</v>
      </c>
      <c r="U3">
        <v>10</v>
      </c>
      <c r="V3">
        <v>0</v>
      </c>
      <c r="W3">
        <v>6</v>
      </c>
      <c r="X3">
        <v>0</v>
      </c>
      <c r="Y3">
        <v>2081</v>
      </c>
      <c r="Z3">
        <v>448</v>
      </c>
      <c r="AA3">
        <v>8698</v>
      </c>
      <c r="AB3">
        <v>989</v>
      </c>
      <c r="AC3">
        <v>0</v>
      </c>
      <c r="AD3">
        <v>0</v>
      </c>
      <c r="AE3">
        <v>0</v>
      </c>
      <c r="AF3">
        <v>0</v>
      </c>
      <c r="AG3">
        <v>510</v>
      </c>
      <c r="AH3">
        <v>61</v>
      </c>
      <c r="AJ3">
        <v>0</v>
      </c>
      <c r="AL3">
        <v>0</v>
      </c>
      <c r="AM3">
        <v>388</v>
      </c>
      <c r="AN3">
        <v>400</v>
      </c>
      <c r="AO3">
        <v>0</v>
      </c>
      <c r="AP3">
        <v>4100</v>
      </c>
      <c r="AQ3">
        <v>136</v>
      </c>
      <c r="AR3">
        <v>0</v>
      </c>
      <c r="AS3">
        <v>310</v>
      </c>
      <c r="AT3">
        <v>0</v>
      </c>
      <c r="AV3">
        <v>2</v>
      </c>
      <c r="AW3">
        <v>455</v>
      </c>
      <c r="AX3">
        <v>0</v>
      </c>
      <c r="AY3">
        <v>288</v>
      </c>
      <c r="AZ3">
        <v>20</v>
      </c>
      <c r="BA3">
        <v>144150</v>
      </c>
      <c r="BB3">
        <v>169</v>
      </c>
      <c r="BC3">
        <v>0</v>
      </c>
      <c r="BD3">
        <v>44005</v>
      </c>
      <c r="BE3">
        <v>28892</v>
      </c>
      <c r="BF3">
        <v>34902</v>
      </c>
      <c r="BG3">
        <v>0</v>
      </c>
      <c r="BH3">
        <v>3299</v>
      </c>
      <c r="BI3">
        <v>591</v>
      </c>
      <c r="BJ3">
        <v>1285</v>
      </c>
      <c r="BM3">
        <v>0</v>
      </c>
    </row>
    <row r="4" spans="1:70" x14ac:dyDescent="0.2">
      <c r="A4" s="25" t="s">
        <v>42</v>
      </c>
      <c r="E4">
        <v>40</v>
      </c>
      <c r="F4">
        <v>344</v>
      </c>
      <c r="H4">
        <v>557</v>
      </c>
      <c r="I4">
        <v>1444</v>
      </c>
      <c r="K4">
        <v>188</v>
      </c>
      <c r="L4">
        <v>10</v>
      </c>
      <c r="M4">
        <v>49</v>
      </c>
      <c r="N4">
        <v>0</v>
      </c>
      <c r="O4">
        <v>78</v>
      </c>
      <c r="P4">
        <v>169</v>
      </c>
      <c r="Q4">
        <v>421</v>
      </c>
      <c r="R4">
        <v>8</v>
      </c>
      <c r="S4">
        <v>353</v>
      </c>
      <c r="U4">
        <v>9</v>
      </c>
      <c r="V4">
        <v>0</v>
      </c>
      <c r="W4">
        <v>5</v>
      </c>
      <c r="X4">
        <v>0</v>
      </c>
      <c r="Y4">
        <v>814</v>
      </c>
      <c r="Z4">
        <v>187</v>
      </c>
      <c r="AA4">
        <v>4686</v>
      </c>
      <c r="AB4">
        <v>459</v>
      </c>
      <c r="AC4">
        <v>0</v>
      </c>
      <c r="AD4">
        <v>0</v>
      </c>
      <c r="AE4">
        <v>0</v>
      </c>
      <c r="AF4">
        <v>0</v>
      </c>
      <c r="AG4">
        <v>0</v>
      </c>
      <c r="AH4">
        <v>38</v>
      </c>
      <c r="AJ4">
        <v>0</v>
      </c>
      <c r="AL4">
        <v>0</v>
      </c>
      <c r="AM4">
        <v>7</v>
      </c>
      <c r="AN4">
        <v>360</v>
      </c>
      <c r="AO4">
        <v>0</v>
      </c>
      <c r="AP4">
        <v>1435</v>
      </c>
      <c r="AQ4">
        <v>134</v>
      </c>
      <c r="AR4">
        <v>0</v>
      </c>
      <c r="AS4">
        <v>300</v>
      </c>
      <c r="AT4">
        <v>421</v>
      </c>
      <c r="AV4">
        <v>1</v>
      </c>
      <c r="AW4">
        <v>493</v>
      </c>
      <c r="AX4">
        <v>0</v>
      </c>
      <c r="AY4">
        <v>203</v>
      </c>
      <c r="AZ4">
        <v>12</v>
      </c>
      <c r="BA4">
        <v>9</v>
      </c>
      <c r="BB4">
        <v>138</v>
      </c>
      <c r="BC4">
        <v>0</v>
      </c>
      <c r="BD4">
        <v>41571</v>
      </c>
      <c r="BE4">
        <v>33821</v>
      </c>
      <c r="BF4">
        <v>32893</v>
      </c>
      <c r="BG4">
        <v>0</v>
      </c>
      <c r="BH4">
        <v>2381</v>
      </c>
      <c r="BI4">
        <v>405</v>
      </c>
      <c r="BJ4">
        <v>1198</v>
      </c>
      <c r="BM4">
        <v>65</v>
      </c>
    </row>
    <row r="5" spans="1:70" x14ac:dyDescent="0.2">
      <c r="A5" s="25" t="s">
        <v>43</v>
      </c>
      <c r="E5">
        <v>30</v>
      </c>
      <c r="F5">
        <v>215</v>
      </c>
      <c r="H5">
        <v>351</v>
      </c>
      <c r="I5">
        <v>914</v>
      </c>
      <c r="K5">
        <v>156</v>
      </c>
      <c r="L5">
        <v>7</v>
      </c>
      <c r="M5">
        <v>32</v>
      </c>
      <c r="N5">
        <v>1</v>
      </c>
      <c r="O5">
        <v>88</v>
      </c>
      <c r="P5">
        <v>224</v>
      </c>
      <c r="Q5">
        <v>374</v>
      </c>
      <c r="R5">
        <v>0</v>
      </c>
      <c r="S5">
        <v>359</v>
      </c>
      <c r="U5">
        <v>9</v>
      </c>
      <c r="V5">
        <v>163</v>
      </c>
      <c r="W5">
        <v>5</v>
      </c>
      <c r="X5">
        <v>0</v>
      </c>
      <c r="Y5">
        <v>1003</v>
      </c>
      <c r="Z5">
        <v>152</v>
      </c>
      <c r="AA5">
        <v>4899</v>
      </c>
      <c r="AB5">
        <v>478</v>
      </c>
      <c r="AC5">
        <v>0</v>
      </c>
      <c r="AD5">
        <v>0</v>
      </c>
      <c r="AE5">
        <v>0</v>
      </c>
      <c r="AF5">
        <v>2</v>
      </c>
      <c r="AG5">
        <v>0</v>
      </c>
      <c r="AH5">
        <v>50</v>
      </c>
      <c r="AJ5">
        <v>0</v>
      </c>
      <c r="AL5">
        <v>0</v>
      </c>
      <c r="AM5">
        <v>0</v>
      </c>
      <c r="AN5">
        <v>200</v>
      </c>
      <c r="AO5">
        <v>0</v>
      </c>
      <c r="AP5">
        <v>306</v>
      </c>
      <c r="AQ5">
        <v>78</v>
      </c>
      <c r="AR5">
        <v>0</v>
      </c>
      <c r="AS5">
        <v>380</v>
      </c>
      <c r="AT5">
        <v>0</v>
      </c>
      <c r="AV5">
        <v>2</v>
      </c>
      <c r="AW5">
        <v>250</v>
      </c>
      <c r="AX5">
        <v>0</v>
      </c>
      <c r="AY5">
        <v>200</v>
      </c>
      <c r="AZ5">
        <v>6</v>
      </c>
      <c r="BA5">
        <v>9</v>
      </c>
      <c r="BB5">
        <v>96</v>
      </c>
      <c r="BC5">
        <v>0</v>
      </c>
      <c r="BD5">
        <v>47189</v>
      </c>
      <c r="BE5">
        <v>30034</v>
      </c>
      <c r="BF5">
        <v>59763</v>
      </c>
      <c r="BG5">
        <v>0</v>
      </c>
      <c r="BH5">
        <v>2140</v>
      </c>
      <c r="BI5">
        <v>155</v>
      </c>
      <c r="BJ5">
        <v>165</v>
      </c>
      <c r="BM5">
        <v>48</v>
      </c>
    </row>
    <row r="6" spans="1:70" x14ac:dyDescent="0.2">
      <c r="A6" s="25" t="s">
        <v>44</v>
      </c>
      <c r="E6">
        <v>24</v>
      </c>
      <c r="F6">
        <v>93</v>
      </c>
      <c r="H6">
        <v>58</v>
      </c>
      <c r="I6">
        <v>582</v>
      </c>
      <c r="K6">
        <v>45</v>
      </c>
      <c r="L6">
        <v>6</v>
      </c>
      <c r="M6">
        <v>0</v>
      </c>
      <c r="N6">
        <v>0</v>
      </c>
      <c r="O6">
        <v>32</v>
      </c>
      <c r="P6">
        <v>161</v>
      </c>
      <c r="Q6">
        <v>121</v>
      </c>
      <c r="R6">
        <v>0</v>
      </c>
      <c r="S6">
        <v>138</v>
      </c>
      <c r="U6">
        <v>8</v>
      </c>
      <c r="V6">
        <v>185</v>
      </c>
      <c r="W6">
        <v>4</v>
      </c>
      <c r="X6">
        <v>0</v>
      </c>
      <c r="Y6">
        <v>372</v>
      </c>
      <c r="Z6">
        <v>13</v>
      </c>
      <c r="AA6">
        <v>3275</v>
      </c>
      <c r="AB6">
        <v>211</v>
      </c>
      <c r="AC6">
        <v>0</v>
      </c>
      <c r="AD6">
        <v>0</v>
      </c>
      <c r="AE6">
        <v>0</v>
      </c>
      <c r="AF6">
        <v>0</v>
      </c>
      <c r="AG6">
        <v>0</v>
      </c>
      <c r="AH6">
        <v>37</v>
      </c>
      <c r="AJ6">
        <v>0</v>
      </c>
      <c r="AL6">
        <v>0</v>
      </c>
      <c r="AM6">
        <v>289</v>
      </c>
      <c r="AN6">
        <v>50</v>
      </c>
      <c r="AO6">
        <v>0</v>
      </c>
      <c r="AP6">
        <v>75</v>
      </c>
      <c r="AQ6">
        <v>6</v>
      </c>
      <c r="AR6">
        <v>0</v>
      </c>
      <c r="AS6">
        <v>10</v>
      </c>
      <c r="AT6">
        <v>0</v>
      </c>
      <c r="AV6">
        <v>1</v>
      </c>
      <c r="AW6">
        <v>79</v>
      </c>
      <c r="AX6">
        <v>0</v>
      </c>
      <c r="AY6">
        <v>50</v>
      </c>
      <c r="AZ6">
        <v>0</v>
      </c>
      <c r="BA6">
        <v>0</v>
      </c>
      <c r="BB6">
        <v>22</v>
      </c>
      <c r="BC6">
        <v>0</v>
      </c>
      <c r="BD6">
        <v>33313</v>
      </c>
      <c r="BE6">
        <v>29093</v>
      </c>
      <c r="BF6">
        <v>59166</v>
      </c>
      <c r="BG6">
        <v>0</v>
      </c>
      <c r="BH6">
        <v>987</v>
      </c>
      <c r="BI6">
        <v>43</v>
      </c>
      <c r="BJ6">
        <v>189</v>
      </c>
      <c r="BL6">
        <v>22</v>
      </c>
      <c r="BM6">
        <v>3482</v>
      </c>
    </row>
    <row r="7" spans="1:70" x14ac:dyDescent="0.2">
      <c r="A7" s="25" t="s">
        <v>45</v>
      </c>
      <c r="E7">
        <v>10</v>
      </c>
      <c r="F7">
        <v>0</v>
      </c>
      <c r="H7">
        <v>8</v>
      </c>
      <c r="I7">
        <v>79</v>
      </c>
      <c r="K7">
        <v>3</v>
      </c>
      <c r="L7">
        <v>6</v>
      </c>
      <c r="M7">
        <v>0</v>
      </c>
      <c r="N7">
        <v>0</v>
      </c>
      <c r="O7">
        <v>0</v>
      </c>
      <c r="P7">
        <v>95</v>
      </c>
      <c r="Q7">
        <v>8</v>
      </c>
      <c r="R7">
        <v>0</v>
      </c>
      <c r="S7">
        <v>9</v>
      </c>
      <c r="U7">
        <v>6</v>
      </c>
      <c r="V7">
        <v>207</v>
      </c>
      <c r="W7">
        <v>3</v>
      </c>
      <c r="X7">
        <v>0</v>
      </c>
      <c r="Y7">
        <v>18</v>
      </c>
      <c r="Z7">
        <v>0</v>
      </c>
      <c r="AA7">
        <v>362</v>
      </c>
      <c r="AB7">
        <v>59</v>
      </c>
      <c r="AC7">
        <v>0</v>
      </c>
      <c r="AD7">
        <v>0</v>
      </c>
      <c r="AE7">
        <v>0</v>
      </c>
      <c r="AF7">
        <v>0</v>
      </c>
      <c r="AG7">
        <v>0</v>
      </c>
      <c r="AH7">
        <v>37</v>
      </c>
      <c r="AJ7">
        <v>0</v>
      </c>
      <c r="AL7">
        <v>0</v>
      </c>
      <c r="AM7">
        <v>0</v>
      </c>
      <c r="AN7">
        <v>10</v>
      </c>
      <c r="AO7">
        <v>0</v>
      </c>
      <c r="AP7">
        <v>51</v>
      </c>
      <c r="AQ7">
        <v>0</v>
      </c>
      <c r="AR7">
        <v>0</v>
      </c>
      <c r="AS7">
        <v>10</v>
      </c>
      <c r="AT7">
        <v>0</v>
      </c>
      <c r="AV7">
        <v>2</v>
      </c>
      <c r="AW7">
        <v>26</v>
      </c>
      <c r="AX7">
        <v>0</v>
      </c>
      <c r="AY7">
        <v>8</v>
      </c>
      <c r="AZ7">
        <v>0</v>
      </c>
      <c r="BA7">
        <v>0</v>
      </c>
      <c r="BB7">
        <v>5</v>
      </c>
      <c r="BC7">
        <v>0</v>
      </c>
      <c r="BD7">
        <v>31850</v>
      </c>
      <c r="BE7">
        <v>26305</v>
      </c>
      <c r="BF7">
        <v>56438</v>
      </c>
      <c r="BG7">
        <v>0</v>
      </c>
      <c r="BH7">
        <v>72</v>
      </c>
      <c r="BI7">
        <v>0</v>
      </c>
      <c r="BJ7">
        <v>5</v>
      </c>
      <c r="BL7">
        <v>4</v>
      </c>
      <c r="BM7">
        <v>81</v>
      </c>
    </row>
    <row r="8" spans="1:70" x14ac:dyDescent="0.2">
      <c r="A8" s="25" t="s">
        <v>46</v>
      </c>
      <c r="E8">
        <v>1</v>
      </c>
      <c r="F8">
        <v>0</v>
      </c>
      <c r="H8">
        <v>10</v>
      </c>
      <c r="I8">
        <v>0</v>
      </c>
      <c r="K8">
        <v>0</v>
      </c>
      <c r="L8">
        <v>6</v>
      </c>
      <c r="M8">
        <v>0</v>
      </c>
      <c r="N8">
        <v>0</v>
      </c>
      <c r="O8">
        <v>1</v>
      </c>
      <c r="P8">
        <v>12</v>
      </c>
      <c r="Q8">
        <v>0</v>
      </c>
      <c r="R8">
        <v>0</v>
      </c>
      <c r="S8">
        <v>0</v>
      </c>
      <c r="U8">
        <v>5</v>
      </c>
      <c r="V8">
        <v>6</v>
      </c>
      <c r="W8">
        <v>3</v>
      </c>
      <c r="X8">
        <v>0</v>
      </c>
      <c r="Y8">
        <v>13</v>
      </c>
      <c r="Z8">
        <v>28</v>
      </c>
      <c r="AA8">
        <v>196</v>
      </c>
      <c r="AB8">
        <v>68</v>
      </c>
      <c r="AC8">
        <v>0</v>
      </c>
      <c r="AD8">
        <v>0</v>
      </c>
      <c r="AE8">
        <v>0</v>
      </c>
      <c r="AF8">
        <v>0</v>
      </c>
      <c r="AG8">
        <v>0</v>
      </c>
      <c r="AH8">
        <v>36</v>
      </c>
      <c r="AJ8">
        <v>1</v>
      </c>
      <c r="AL8">
        <v>0</v>
      </c>
      <c r="AM8">
        <v>2</v>
      </c>
      <c r="AN8">
        <v>0</v>
      </c>
      <c r="AO8">
        <v>0</v>
      </c>
      <c r="AP8">
        <v>5</v>
      </c>
      <c r="AQ8">
        <v>0</v>
      </c>
      <c r="AR8">
        <v>0</v>
      </c>
      <c r="AS8">
        <v>10</v>
      </c>
      <c r="AT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40119</v>
      </c>
      <c r="BE8">
        <v>25367</v>
      </c>
      <c r="BF8">
        <v>59637</v>
      </c>
      <c r="BG8">
        <v>0</v>
      </c>
      <c r="BH8">
        <v>0</v>
      </c>
      <c r="BI8">
        <v>0</v>
      </c>
      <c r="BJ8">
        <v>6</v>
      </c>
      <c r="BL8">
        <v>5</v>
      </c>
      <c r="BM8">
        <v>79</v>
      </c>
    </row>
    <row r="9" spans="1:70" x14ac:dyDescent="0.2">
      <c r="A9" s="25" t="s">
        <v>47</v>
      </c>
      <c r="E9">
        <v>1</v>
      </c>
      <c r="F9">
        <v>0</v>
      </c>
      <c r="H9">
        <v>10</v>
      </c>
      <c r="I9">
        <v>0</v>
      </c>
      <c r="K9">
        <v>0</v>
      </c>
      <c r="L9">
        <v>6</v>
      </c>
      <c r="M9">
        <v>0</v>
      </c>
      <c r="N9">
        <v>0</v>
      </c>
      <c r="O9">
        <v>0</v>
      </c>
      <c r="P9">
        <v>12</v>
      </c>
      <c r="Q9">
        <v>1</v>
      </c>
      <c r="R9">
        <v>0</v>
      </c>
      <c r="S9">
        <v>3</v>
      </c>
      <c r="U9">
        <v>5</v>
      </c>
      <c r="V9">
        <v>1</v>
      </c>
      <c r="W9">
        <v>2</v>
      </c>
      <c r="X9">
        <v>0</v>
      </c>
      <c r="Y9">
        <v>9</v>
      </c>
      <c r="Z9">
        <v>0</v>
      </c>
      <c r="AA9">
        <v>150</v>
      </c>
      <c r="AB9">
        <v>54</v>
      </c>
      <c r="AC9">
        <v>0</v>
      </c>
      <c r="AD9">
        <v>0</v>
      </c>
      <c r="AE9">
        <v>0</v>
      </c>
      <c r="AF9">
        <v>0</v>
      </c>
      <c r="AG9">
        <v>0</v>
      </c>
      <c r="AH9">
        <v>27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</v>
      </c>
      <c r="AV9">
        <v>2</v>
      </c>
      <c r="AW9">
        <v>1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10</v>
      </c>
      <c r="BH9">
        <v>1</v>
      </c>
      <c r="BI9">
        <v>0</v>
      </c>
      <c r="BJ9">
        <v>5</v>
      </c>
      <c r="BL9">
        <v>5</v>
      </c>
      <c r="BM9">
        <v>0</v>
      </c>
    </row>
    <row r="10" spans="1:70" x14ac:dyDescent="0.2">
      <c r="A10" s="25" t="s">
        <v>48</v>
      </c>
      <c r="E10">
        <v>1</v>
      </c>
      <c r="F10">
        <v>0</v>
      </c>
      <c r="H10">
        <v>10</v>
      </c>
      <c r="I10">
        <v>0</v>
      </c>
      <c r="K10">
        <v>0</v>
      </c>
      <c r="L10">
        <v>5</v>
      </c>
      <c r="M10">
        <v>0</v>
      </c>
      <c r="N10">
        <v>1</v>
      </c>
      <c r="O10">
        <v>0</v>
      </c>
      <c r="P10">
        <v>14</v>
      </c>
      <c r="Q10">
        <v>0</v>
      </c>
      <c r="R10">
        <v>0</v>
      </c>
      <c r="S10">
        <v>274</v>
      </c>
      <c r="U10">
        <v>4</v>
      </c>
      <c r="V10">
        <v>0</v>
      </c>
      <c r="W10">
        <v>3</v>
      </c>
      <c r="X10">
        <v>0</v>
      </c>
      <c r="Y10">
        <v>12</v>
      </c>
      <c r="Z10">
        <v>0</v>
      </c>
      <c r="AA10">
        <v>194</v>
      </c>
      <c r="AB10">
        <v>66</v>
      </c>
      <c r="AC10">
        <v>0</v>
      </c>
      <c r="AD10">
        <v>0</v>
      </c>
      <c r="AE10">
        <v>0</v>
      </c>
      <c r="AF10">
        <v>8717</v>
      </c>
      <c r="AG10">
        <v>0</v>
      </c>
      <c r="AH10">
        <v>3604</v>
      </c>
      <c r="AJ10">
        <v>0</v>
      </c>
      <c r="AL10">
        <v>14090</v>
      </c>
      <c r="AM10">
        <v>86053</v>
      </c>
      <c r="AN10">
        <v>0</v>
      </c>
      <c r="AO10">
        <v>31113</v>
      </c>
      <c r="AP10">
        <v>0</v>
      </c>
      <c r="AQ10">
        <v>0</v>
      </c>
      <c r="AR10">
        <v>0</v>
      </c>
      <c r="AS10">
        <v>0</v>
      </c>
      <c r="AT10">
        <v>39283</v>
      </c>
      <c r="AV10">
        <v>6</v>
      </c>
      <c r="AW10">
        <v>1</v>
      </c>
      <c r="AX10">
        <v>0</v>
      </c>
      <c r="AY10">
        <v>0</v>
      </c>
      <c r="AZ10">
        <v>0</v>
      </c>
      <c r="BA10">
        <v>7925</v>
      </c>
      <c r="BB10">
        <v>0</v>
      </c>
      <c r="BC10">
        <v>0</v>
      </c>
      <c r="BD10">
        <v>41989</v>
      </c>
      <c r="BE10">
        <v>26821</v>
      </c>
      <c r="BF10">
        <v>63641</v>
      </c>
      <c r="BG10">
        <v>0</v>
      </c>
      <c r="BH10">
        <v>0</v>
      </c>
      <c r="BI10">
        <v>0</v>
      </c>
      <c r="BJ10">
        <v>5</v>
      </c>
      <c r="BL10">
        <v>6</v>
      </c>
      <c r="BM10">
        <v>73</v>
      </c>
    </row>
    <row r="11" spans="1:70" x14ac:dyDescent="0.2">
      <c r="A11" s="25" t="s">
        <v>49</v>
      </c>
      <c r="E11">
        <v>1</v>
      </c>
      <c r="F11">
        <v>0</v>
      </c>
      <c r="H11">
        <v>10</v>
      </c>
      <c r="I11">
        <v>0</v>
      </c>
      <c r="K11">
        <v>1</v>
      </c>
      <c r="L11">
        <v>6</v>
      </c>
      <c r="M11">
        <v>0</v>
      </c>
      <c r="N11">
        <v>0</v>
      </c>
      <c r="O11">
        <v>0</v>
      </c>
      <c r="P11">
        <v>14</v>
      </c>
      <c r="Q11">
        <v>0</v>
      </c>
      <c r="R11">
        <v>0</v>
      </c>
      <c r="S11">
        <v>851</v>
      </c>
      <c r="U11">
        <v>5</v>
      </c>
      <c r="V11">
        <v>0</v>
      </c>
      <c r="W11">
        <v>2</v>
      </c>
      <c r="X11">
        <v>0</v>
      </c>
      <c r="Y11">
        <v>9</v>
      </c>
      <c r="Z11">
        <v>1</v>
      </c>
      <c r="AA11">
        <v>149</v>
      </c>
      <c r="AB11">
        <v>49</v>
      </c>
      <c r="AC11">
        <v>0</v>
      </c>
      <c r="AD11">
        <v>0</v>
      </c>
      <c r="AE11">
        <v>0</v>
      </c>
      <c r="AF11">
        <v>71570</v>
      </c>
      <c r="AG11">
        <v>56450</v>
      </c>
      <c r="AH11">
        <v>82816</v>
      </c>
      <c r="AJ11">
        <v>22022</v>
      </c>
      <c r="AL11">
        <v>24820</v>
      </c>
      <c r="AM11">
        <v>155603</v>
      </c>
      <c r="AN11">
        <v>27880</v>
      </c>
      <c r="AO11">
        <v>800024</v>
      </c>
      <c r="AP11">
        <v>105613</v>
      </c>
      <c r="AQ11">
        <v>0</v>
      </c>
      <c r="AR11">
        <v>41011</v>
      </c>
      <c r="AS11">
        <v>45920</v>
      </c>
      <c r="AT11">
        <v>0</v>
      </c>
      <c r="AV11">
        <v>9</v>
      </c>
      <c r="AW11">
        <v>1</v>
      </c>
      <c r="AX11">
        <v>0</v>
      </c>
      <c r="AY11">
        <v>0</v>
      </c>
      <c r="AZ11">
        <v>6</v>
      </c>
      <c r="BA11">
        <v>111197</v>
      </c>
      <c r="BB11">
        <v>0</v>
      </c>
      <c r="BC11">
        <v>0</v>
      </c>
      <c r="BD11">
        <v>57254</v>
      </c>
      <c r="BE11">
        <v>36617</v>
      </c>
      <c r="BF11">
        <v>66542</v>
      </c>
      <c r="BG11">
        <v>74710</v>
      </c>
      <c r="BH11">
        <v>0</v>
      </c>
      <c r="BI11">
        <v>0</v>
      </c>
      <c r="BJ11">
        <v>6</v>
      </c>
      <c r="BL11">
        <v>9</v>
      </c>
      <c r="BM11">
        <v>73</v>
      </c>
    </row>
    <row r="12" spans="1:70" x14ac:dyDescent="0.2">
      <c r="A12" s="25" t="s">
        <v>50</v>
      </c>
      <c r="E12">
        <v>9</v>
      </c>
      <c r="F12">
        <v>1</v>
      </c>
      <c r="H12">
        <v>9</v>
      </c>
      <c r="I12">
        <v>102</v>
      </c>
      <c r="K12">
        <v>20</v>
      </c>
      <c r="L12">
        <v>7</v>
      </c>
      <c r="M12">
        <v>2</v>
      </c>
      <c r="N12">
        <v>0</v>
      </c>
      <c r="O12">
        <v>34</v>
      </c>
      <c r="P12">
        <v>13</v>
      </c>
      <c r="Q12">
        <v>36</v>
      </c>
      <c r="R12">
        <v>5</v>
      </c>
      <c r="S12">
        <v>515</v>
      </c>
      <c r="U12">
        <v>6</v>
      </c>
      <c r="V12">
        <v>0</v>
      </c>
      <c r="W12">
        <v>3</v>
      </c>
      <c r="X12">
        <v>0</v>
      </c>
      <c r="Y12">
        <v>240</v>
      </c>
      <c r="Z12">
        <v>26</v>
      </c>
      <c r="AA12">
        <v>2635</v>
      </c>
      <c r="AB12">
        <v>164</v>
      </c>
      <c r="AC12">
        <v>0</v>
      </c>
      <c r="AD12">
        <v>0</v>
      </c>
      <c r="AE12">
        <v>0</v>
      </c>
      <c r="AF12">
        <v>19158</v>
      </c>
      <c r="AG12">
        <v>27750</v>
      </c>
      <c r="AH12">
        <v>15233</v>
      </c>
      <c r="AJ12">
        <v>13443</v>
      </c>
      <c r="AL12">
        <v>17710</v>
      </c>
      <c r="AM12">
        <v>28892</v>
      </c>
      <c r="AN12">
        <v>31130</v>
      </c>
      <c r="AO12">
        <v>27347</v>
      </c>
      <c r="AP12">
        <v>65754</v>
      </c>
      <c r="AQ12">
        <v>35332</v>
      </c>
      <c r="AR12">
        <v>22566</v>
      </c>
      <c r="AS12">
        <v>4450</v>
      </c>
      <c r="AT12">
        <v>18808</v>
      </c>
      <c r="AV12">
        <v>9</v>
      </c>
      <c r="AW12">
        <v>3</v>
      </c>
      <c r="AX12">
        <v>0</v>
      </c>
      <c r="AY12">
        <v>35</v>
      </c>
      <c r="AZ12">
        <v>10</v>
      </c>
      <c r="BA12">
        <v>20929</v>
      </c>
      <c r="BB12">
        <v>14</v>
      </c>
      <c r="BC12">
        <v>0</v>
      </c>
      <c r="BD12">
        <v>50107</v>
      </c>
      <c r="BE12">
        <v>38315</v>
      </c>
      <c r="BF12">
        <v>75037</v>
      </c>
      <c r="BG12">
        <v>66250</v>
      </c>
      <c r="BH12">
        <v>1</v>
      </c>
      <c r="BI12">
        <v>0</v>
      </c>
      <c r="BJ12">
        <v>5</v>
      </c>
      <c r="BL12">
        <v>12</v>
      </c>
      <c r="BM12">
        <v>60</v>
      </c>
    </row>
    <row r="13" spans="1:70" x14ac:dyDescent="0.2">
      <c r="A13" s="25" t="s">
        <v>51</v>
      </c>
      <c r="E13">
        <v>17</v>
      </c>
      <c r="F13">
        <v>170</v>
      </c>
      <c r="H13">
        <v>123</v>
      </c>
      <c r="I13">
        <v>347</v>
      </c>
      <c r="K13">
        <v>116</v>
      </c>
      <c r="L13">
        <v>9</v>
      </c>
      <c r="M13">
        <v>13</v>
      </c>
      <c r="N13">
        <v>0</v>
      </c>
      <c r="O13">
        <v>89</v>
      </c>
      <c r="P13">
        <v>88</v>
      </c>
      <c r="Q13">
        <v>412</v>
      </c>
      <c r="R13">
        <v>4</v>
      </c>
      <c r="S13">
        <v>828</v>
      </c>
      <c r="U13">
        <v>7</v>
      </c>
      <c r="V13">
        <v>51</v>
      </c>
      <c r="W13">
        <v>4</v>
      </c>
      <c r="X13">
        <v>0</v>
      </c>
      <c r="Y13">
        <v>811</v>
      </c>
      <c r="Z13">
        <v>154</v>
      </c>
      <c r="AA13">
        <v>4654</v>
      </c>
      <c r="AB13">
        <v>497</v>
      </c>
      <c r="AC13">
        <v>0</v>
      </c>
      <c r="AD13">
        <v>0</v>
      </c>
      <c r="AE13">
        <v>0</v>
      </c>
      <c r="AF13">
        <v>728</v>
      </c>
      <c r="AG13">
        <v>400</v>
      </c>
      <c r="AH13">
        <v>470</v>
      </c>
      <c r="AJ13">
        <v>374</v>
      </c>
      <c r="AL13">
        <v>510</v>
      </c>
      <c r="AM13">
        <v>4933</v>
      </c>
      <c r="AN13">
        <v>810</v>
      </c>
      <c r="AO13">
        <v>293</v>
      </c>
      <c r="AP13">
        <v>11643</v>
      </c>
      <c r="AQ13">
        <v>1561</v>
      </c>
      <c r="AR13">
        <v>6500</v>
      </c>
      <c r="AS13">
        <v>70</v>
      </c>
      <c r="AT13">
        <v>0</v>
      </c>
      <c r="AV13">
        <v>44</v>
      </c>
      <c r="AW13">
        <v>117</v>
      </c>
      <c r="AX13">
        <v>0</v>
      </c>
      <c r="AY13">
        <v>185</v>
      </c>
      <c r="AZ13">
        <v>19</v>
      </c>
      <c r="BA13">
        <v>2879</v>
      </c>
      <c r="BB13">
        <v>69</v>
      </c>
      <c r="BC13">
        <v>0</v>
      </c>
      <c r="BD13">
        <v>35871</v>
      </c>
      <c r="BE13">
        <v>33922</v>
      </c>
      <c r="BF13">
        <v>67846</v>
      </c>
      <c r="BG13">
        <v>2640</v>
      </c>
      <c r="BH13">
        <v>805</v>
      </c>
      <c r="BI13">
        <v>0</v>
      </c>
      <c r="BJ13">
        <v>100</v>
      </c>
      <c r="BL13">
        <v>31</v>
      </c>
      <c r="BM13">
        <v>210</v>
      </c>
    </row>
    <row r="14" spans="1:70" x14ac:dyDescent="0.2">
      <c r="A14" s="25" t="s">
        <v>52</v>
      </c>
      <c r="E14">
        <v>68</v>
      </c>
      <c r="F14">
        <v>163</v>
      </c>
      <c r="H14">
        <v>390</v>
      </c>
      <c r="I14">
        <v>1071</v>
      </c>
      <c r="K14">
        <v>179</v>
      </c>
      <c r="L14">
        <v>9</v>
      </c>
      <c r="M14">
        <v>58</v>
      </c>
      <c r="O14">
        <v>158</v>
      </c>
      <c r="P14">
        <v>155</v>
      </c>
      <c r="Q14">
        <v>498</v>
      </c>
      <c r="R14">
        <v>14</v>
      </c>
      <c r="S14">
        <v>845</v>
      </c>
      <c r="U14">
        <v>8</v>
      </c>
      <c r="V14">
        <v>156</v>
      </c>
      <c r="W14">
        <v>5</v>
      </c>
      <c r="X14">
        <v>0</v>
      </c>
      <c r="Y14">
        <v>1715</v>
      </c>
      <c r="Z14">
        <v>339</v>
      </c>
      <c r="AA14">
        <v>8424</v>
      </c>
      <c r="AB14">
        <v>1024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</v>
      </c>
      <c r="AJ14">
        <v>0</v>
      </c>
      <c r="AL14">
        <v>0</v>
      </c>
      <c r="AM14">
        <v>270</v>
      </c>
      <c r="AN14">
        <v>420</v>
      </c>
      <c r="AO14">
        <v>0</v>
      </c>
      <c r="AP14">
        <v>4170</v>
      </c>
      <c r="AQ14">
        <v>189</v>
      </c>
      <c r="AR14">
        <v>0</v>
      </c>
      <c r="AS14">
        <v>290</v>
      </c>
      <c r="AT14">
        <v>0</v>
      </c>
      <c r="AV14">
        <v>3</v>
      </c>
      <c r="AW14">
        <v>277</v>
      </c>
      <c r="AX14">
        <v>0</v>
      </c>
      <c r="AY14">
        <v>299</v>
      </c>
      <c r="AZ14">
        <v>19</v>
      </c>
      <c r="BA14">
        <v>10</v>
      </c>
      <c r="BB14">
        <v>95</v>
      </c>
      <c r="BC14">
        <v>0</v>
      </c>
      <c r="BD14">
        <v>44013</v>
      </c>
      <c r="BE14">
        <v>43273</v>
      </c>
      <c r="BF14">
        <v>73806.22</v>
      </c>
      <c r="BG14">
        <v>0</v>
      </c>
      <c r="BH14">
        <v>2886</v>
      </c>
      <c r="BJ14">
        <v>219</v>
      </c>
      <c r="BL14">
        <v>38</v>
      </c>
      <c r="BM14">
        <v>1389</v>
      </c>
    </row>
    <row r="15" spans="1:70" ht="13.5" thickBot="1" x14ac:dyDescent="0.25">
      <c r="A15" s="92" t="s">
        <v>58</v>
      </c>
      <c r="B15" s="93">
        <f>SUM(B3:B14)/10</f>
        <v>0</v>
      </c>
      <c r="C15" s="93">
        <f>SUM(C3:C14)/10</f>
        <v>0</v>
      </c>
      <c r="D15" s="93">
        <f>SUM(D3:D14)/10</f>
        <v>0</v>
      </c>
      <c r="E15" s="93">
        <f>SUM(E3:E14)/10</f>
        <v>27.9</v>
      </c>
      <c r="F15" s="93">
        <f t="shared" ref="F15:BM15" si="0">SUM(F3:F14)/10</f>
        <v>130.4</v>
      </c>
      <c r="G15" s="93">
        <f t="shared" si="0"/>
        <v>0</v>
      </c>
      <c r="H15" s="93">
        <f t="shared" si="0"/>
        <v>199</v>
      </c>
      <c r="I15" s="93">
        <f t="shared" si="0"/>
        <v>603.4</v>
      </c>
      <c r="J15" s="93">
        <f t="shared" si="0"/>
        <v>0</v>
      </c>
      <c r="K15" s="93">
        <f t="shared" si="0"/>
        <v>99.2</v>
      </c>
      <c r="L15" s="93">
        <f t="shared" si="0"/>
        <v>8.6999999999999993</v>
      </c>
      <c r="M15" s="93">
        <f t="shared" si="0"/>
        <v>22.5</v>
      </c>
      <c r="N15" s="93">
        <f t="shared" si="0"/>
        <v>0.2</v>
      </c>
      <c r="O15" s="93">
        <f t="shared" si="0"/>
        <v>71.099999999999994</v>
      </c>
      <c r="P15" s="93">
        <f t="shared" si="0"/>
        <v>100.1</v>
      </c>
      <c r="Q15" s="93">
        <f t="shared" si="0"/>
        <v>289.60000000000002</v>
      </c>
      <c r="R15" s="93">
        <f t="shared" si="0"/>
        <v>6.1</v>
      </c>
      <c r="S15" s="93">
        <f t="shared" si="0"/>
        <v>526.20000000000005</v>
      </c>
      <c r="T15" s="93">
        <f t="shared" si="0"/>
        <v>0</v>
      </c>
      <c r="U15" s="93">
        <f t="shared" si="0"/>
        <v>8.1999999999999993</v>
      </c>
      <c r="V15" s="93">
        <f t="shared" si="0"/>
        <v>76.900000000000006</v>
      </c>
      <c r="W15" s="93">
        <f t="shared" si="0"/>
        <v>4.5</v>
      </c>
      <c r="X15" s="93">
        <f t="shared" si="0"/>
        <v>0</v>
      </c>
      <c r="Y15" s="93">
        <f t="shared" si="0"/>
        <v>709.7</v>
      </c>
      <c r="Z15" s="93">
        <f t="shared" si="0"/>
        <v>134.80000000000001</v>
      </c>
      <c r="AA15" s="93">
        <f t="shared" si="0"/>
        <v>3832.2</v>
      </c>
      <c r="AB15" s="93">
        <f t="shared" si="0"/>
        <v>411.8</v>
      </c>
      <c r="AC15" s="93">
        <f t="shared" si="0"/>
        <v>0</v>
      </c>
      <c r="AD15" s="93">
        <f t="shared" si="0"/>
        <v>0</v>
      </c>
      <c r="AE15" s="93">
        <f t="shared" si="0"/>
        <v>0</v>
      </c>
      <c r="AF15" s="93">
        <f t="shared" si="0"/>
        <v>10017.5</v>
      </c>
      <c r="AG15" s="93">
        <f t="shared" si="0"/>
        <v>8511</v>
      </c>
      <c r="AH15" s="93">
        <f t="shared" si="0"/>
        <v>10242.1</v>
      </c>
      <c r="AI15" s="93">
        <f t="shared" si="0"/>
        <v>0</v>
      </c>
      <c r="AJ15" s="93">
        <f t="shared" si="0"/>
        <v>3584</v>
      </c>
      <c r="AK15" s="93">
        <f t="shared" si="0"/>
        <v>0</v>
      </c>
      <c r="AL15" s="93">
        <f t="shared" si="0"/>
        <v>5713</v>
      </c>
      <c r="AM15" s="93">
        <f t="shared" si="0"/>
        <v>27643.7</v>
      </c>
      <c r="AN15" s="93">
        <f t="shared" si="0"/>
        <v>6126</v>
      </c>
      <c r="AO15" s="93">
        <f t="shared" si="0"/>
        <v>85877.7</v>
      </c>
      <c r="AP15" s="93">
        <f t="shared" si="0"/>
        <v>19315.2</v>
      </c>
      <c r="AQ15" s="93">
        <f t="shared" si="0"/>
        <v>3743.6</v>
      </c>
      <c r="AR15" s="93">
        <f t="shared" si="0"/>
        <v>7007.7</v>
      </c>
      <c r="AS15" s="93">
        <f t="shared" si="0"/>
        <v>5175</v>
      </c>
      <c r="AT15" s="93">
        <f t="shared" si="0"/>
        <v>5851.6</v>
      </c>
      <c r="AU15" s="93">
        <f t="shared" si="0"/>
        <v>0</v>
      </c>
      <c r="AV15" s="93">
        <f t="shared" si="0"/>
        <v>8.1999999999999993</v>
      </c>
      <c r="AW15" s="93">
        <f t="shared" si="0"/>
        <v>170.4</v>
      </c>
      <c r="AX15" s="93">
        <f t="shared" si="0"/>
        <v>0</v>
      </c>
      <c r="AY15" s="93">
        <f t="shared" si="0"/>
        <v>126.9</v>
      </c>
      <c r="AZ15" s="93">
        <f t="shared" si="0"/>
        <v>9.1999999999999993</v>
      </c>
      <c r="BA15" s="93">
        <f t="shared" si="0"/>
        <v>28710.799999999999</v>
      </c>
      <c r="BB15" s="93">
        <f t="shared" si="0"/>
        <v>60.8</v>
      </c>
      <c r="BC15" s="93">
        <f t="shared" si="0"/>
        <v>0</v>
      </c>
      <c r="BD15" s="93">
        <f t="shared" si="0"/>
        <v>46728.1</v>
      </c>
      <c r="BE15" s="93">
        <f t="shared" si="0"/>
        <v>35246</v>
      </c>
      <c r="BF15" s="93">
        <f t="shared" si="0"/>
        <v>64967.121999999996</v>
      </c>
      <c r="BG15" s="93">
        <f t="shared" si="0"/>
        <v>14361</v>
      </c>
      <c r="BH15" s="93">
        <f t="shared" si="0"/>
        <v>1257.2</v>
      </c>
      <c r="BI15" s="93">
        <f t="shared" si="0"/>
        <v>119.4</v>
      </c>
      <c r="BJ15" s="93">
        <f t="shared" si="0"/>
        <v>318.8</v>
      </c>
      <c r="BK15" s="93">
        <f t="shared" si="0"/>
        <v>0</v>
      </c>
      <c r="BL15" s="93">
        <f t="shared" si="0"/>
        <v>13.2</v>
      </c>
      <c r="BM15" s="93">
        <f t="shared" si="0"/>
        <v>556</v>
      </c>
      <c r="BN15" s="97"/>
      <c r="BO15" s="97"/>
      <c r="BP15" s="97"/>
      <c r="BQ15" s="97"/>
      <c r="BR15" s="97"/>
    </row>
    <row r="16" spans="1:70" ht="13.5" thickTop="1" x14ac:dyDescent="0.2">
      <c r="A16" s="92"/>
      <c r="B16" s="134">
        <f>SUM(B3:B14)</f>
        <v>0</v>
      </c>
      <c r="C16" s="134">
        <f t="shared" ref="C16:BM16" si="1">SUM(C3:C14)</f>
        <v>0</v>
      </c>
      <c r="D16" s="134">
        <f t="shared" si="1"/>
        <v>0</v>
      </c>
      <c r="E16" s="134">
        <f t="shared" si="1"/>
        <v>279</v>
      </c>
      <c r="F16" s="134">
        <f t="shared" si="1"/>
        <v>1304</v>
      </c>
      <c r="G16" s="134">
        <f t="shared" si="1"/>
        <v>0</v>
      </c>
      <c r="H16" s="134">
        <f t="shared" si="1"/>
        <v>1990</v>
      </c>
      <c r="I16" s="134">
        <f t="shared" si="1"/>
        <v>6034</v>
      </c>
      <c r="J16" s="134">
        <f t="shared" si="1"/>
        <v>0</v>
      </c>
      <c r="K16" s="134">
        <f t="shared" si="1"/>
        <v>992</v>
      </c>
      <c r="L16" s="134">
        <f t="shared" si="1"/>
        <v>87</v>
      </c>
      <c r="M16" s="134">
        <f t="shared" si="1"/>
        <v>225</v>
      </c>
      <c r="N16" s="134">
        <f t="shared" si="1"/>
        <v>2</v>
      </c>
      <c r="O16" s="134">
        <f t="shared" si="1"/>
        <v>711</v>
      </c>
      <c r="P16" s="134">
        <f t="shared" si="1"/>
        <v>1001</v>
      </c>
      <c r="Q16" s="134">
        <f t="shared" si="1"/>
        <v>2896</v>
      </c>
      <c r="R16" s="134">
        <f t="shared" si="1"/>
        <v>61</v>
      </c>
      <c r="S16" s="134">
        <f t="shared" si="1"/>
        <v>5262</v>
      </c>
      <c r="T16" s="134">
        <f t="shared" si="1"/>
        <v>0</v>
      </c>
      <c r="U16" s="134">
        <f t="shared" si="1"/>
        <v>82</v>
      </c>
      <c r="V16" s="134">
        <f t="shared" si="1"/>
        <v>769</v>
      </c>
      <c r="W16" s="134">
        <f t="shared" si="1"/>
        <v>45</v>
      </c>
      <c r="X16" s="134">
        <f t="shared" si="1"/>
        <v>0</v>
      </c>
      <c r="Y16" s="134">
        <f t="shared" si="1"/>
        <v>7097</v>
      </c>
      <c r="Z16" s="134">
        <f t="shared" si="1"/>
        <v>1348</v>
      </c>
      <c r="AA16" s="134">
        <f t="shared" si="1"/>
        <v>38322</v>
      </c>
      <c r="AB16" s="134">
        <f t="shared" si="1"/>
        <v>4118</v>
      </c>
      <c r="AC16" s="134">
        <f t="shared" si="1"/>
        <v>0</v>
      </c>
      <c r="AD16" s="134">
        <f t="shared" si="1"/>
        <v>0</v>
      </c>
      <c r="AE16" s="134">
        <f t="shared" si="1"/>
        <v>0</v>
      </c>
      <c r="AF16" s="134">
        <f t="shared" si="1"/>
        <v>100175</v>
      </c>
      <c r="AG16" s="134">
        <f t="shared" si="1"/>
        <v>85110</v>
      </c>
      <c r="AH16" s="134">
        <f t="shared" si="1"/>
        <v>102421</v>
      </c>
      <c r="AI16" s="134">
        <f t="shared" si="1"/>
        <v>0</v>
      </c>
      <c r="AJ16" s="134">
        <f t="shared" si="1"/>
        <v>35840</v>
      </c>
      <c r="AK16" s="134">
        <f t="shared" si="1"/>
        <v>0</v>
      </c>
      <c r="AL16" s="134">
        <f t="shared" si="1"/>
        <v>57130</v>
      </c>
      <c r="AM16" s="134">
        <f t="shared" si="1"/>
        <v>276437</v>
      </c>
      <c r="AN16" s="134">
        <f t="shared" si="1"/>
        <v>61260</v>
      </c>
      <c r="AO16" s="134">
        <f t="shared" si="1"/>
        <v>858777</v>
      </c>
      <c r="AP16" s="134">
        <f t="shared" si="1"/>
        <v>193152</v>
      </c>
      <c r="AQ16" s="134">
        <f t="shared" si="1"/>
        <v>37436</v>
      </c>
      <c r="AR16" s="134">
        <f t="shared" si="1"/>
        <v>70077</v>
      </c>
      <c r="AS16" s="134">
        <f t="shared" si="1"/>
        <v>51750</v>
      </c>
      <c r="AT16" s="134">
        <f t="shared" si="1"/>
        <v>58516</v>
      </c>
      <c r="AU16" s="134">
        <f t="shared" si="1"/>
        <v>0</v>
      </c>
      <c r="AV16" s="134">
        <f t="shared" si="1"/>
        <v>82</v>
      </c>
      <c r="AW16" s="134">
        <f t="shared" si="1"/>
        <v>1704</v>
      </c>
      <c r="AX16" s="134">
        <f t="shared" si="1"/>
        <v>0</v>
      </c>
      <c r="AY16" s="134">
        <f t="shared" si="1"/>
        <v>1269</v>
      </c>
      <c r="AZ16" s="134">
        <f t="shared" si="1"/>
        <v>92</v>
      </c>
      <c r="BA16" s="134">
        <f t="shared" si="1"/>
        <v>287108</v>
      </c>
      <c r="BB16" s="134">
        <f t="shared" si="1"/>
        <v>608</v>
      </c>
      <c r="BC16" s="134">
        <f t="shared" si="1"/>
        <v>0</v>
      </c>
      <c r="BD16" s="134">
        <f t="shared" si="1"/>
        <v>467281</v>
      </c>
      <c r="BE16" s="134">
        <f t="shared" si="1"/>
        <v>352460</v>
      </c>
      <c r="BF16" s="134">
        <f t="shared" si="1"/>
        <v>649671.22</v>
      </c>
      <c r="BG16" s="134">
        <f t="shared" si="1"/>
        <v>143610</v>
      </c>
      <c r="BH16" s="134">
        <f t="shared" si="1"/>
        <v>12572</v>
      </c>
      <c r="BI16" s="134">
        <f t="shared" si="1"/>
        <v>1194</v>
      </c>
      <c r="BJ16" s="134">
        <f t="shared" si="1"/>
        <v>3188</v>
      </c>
      <c r="BK16" s="134">
        <f t="shared" si="1"/>
        <v>0</v>
      </c>
      <c r="BL16" s="134">
        <f t="shared" si="1"/>
        <v>132</v>
      </c>
      <c r="BM16" s="134">
        <f t="shared" si="1"/>
        <v>5560</v>
      </c>
      <c r="BN16" s="138"/>
      <c r="BO16" s="138"/>
      <c r="BP16" s="138"/>
      <c r="BQ16" s="138"/>
      <c r="BR16" s="138"/>
    </row>
    <row r="20" spans="1:70" x14ac:dyDescent="0.2">
      <c r="A20" s="26">
        <v>2023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  <c r="BJ20" s="31" t="s">
        <v>53</v>
      </c>
      <c r="BK20" s="31" t="s">
        <v>53</v>
      </c>
      <c r="BL20" s="31" t="s">
        <v>53</v>
      </c>
      <c r="BM20" s="31"/>
      <c r="BN20" s="31"/>
      <c r="BO20" s="31"/>
      <c r="BP20" s="31"/>
      <c r="BQ20" s="31"/>
      <c r="BR20" s="31"/>
    </row>
    <row r="21" spans="1:70" x14ac:dyDescent="0.2">
      <c r="A21" s="106" t="s">
        <v>59</v>
      </c>
      <c r="E21">
        <v>116.92</v>
      </c>
      <c r="F21">
        <v>459.09</v>
      </c>
      <c r="H21">
        <v>667.14</v>
      </c>
      <c r="I21">
        <v>2165.35</v>
      </c>
      <c r="K21">
        <v>410.78</v>
      </c>
      <c r="L21">
        <v>23.24</v>
      </c>
      <c r="M21">
        <v>108.51</v>
      </c>
      <c r="N21">
        <v>9.5399999999999991</v>
      </c>
      <c r="O21">
        <v>322.35000000000002</v>
      </c>
      <c r="P21">
        <v>83.73</v>
      </c>
      <c r="Q21">
        <v>1402.12</v>
      </c>
      <c r="R21">
        <v>49.78</v>
      </c>
      <c r="S21">
        <v>1487.17</v>
      </c>
      <c r="U21">
        <v>26.25</v>
      </c>
      <c r="V21">
        <v>0</v>
      </c>
      <c r="W21">
        <v>16.920000000000002</v>
      </c>
      <c r="X21">
        <v>9.25</v>
      </c>
      <c r="Y21">
        <v>2815.03</v>
      </c>
      <c r="Z21">
        <v>617.64</v>
      </c>
      <c r="AA21">
        <v>11537.32</v>
      </c>
      <c r="AB21">
        <v>1353.8</v>
      </c>
      <c r="AC21">
        <v>8.9499999999999993</v>
      </c>
      <c r="AD21">
        <v>9.25</v>
      </c>
      <c r="AE21">
        <v>9.25</v>
      </c>
      <c r="AF21">
        <v>13.82</v>
      </c>
      <c r="AG21">
        <v>-3614.19</v>
      </c>
      <c r="AH21">
        <v>81.99</v>
      </c>
      <c r="AJ21">
        <v>8.8699999999999992</v>
      </c>
      <c r="AL21">
        <v>9.25</v>
      </c>
      <c r="AM21">
        <v>558.80999999999995</v>
      </c>
      <c r="AN21">
        <v>584.70000000000005</v>
      </c>
      <c r="AO21">
        <v>9.25</v>
      </c>
      <c r="AP21">
        <v>5636.88</v>
      </c>
      <c r="AQ21">
        <v>192.33</v>
      </c>
      <c r="AR21">
        <v>6340.01</v>
      </c>
      <c r="AS21">
        <v>459.73</v>
      </c>
      <c r="AT21">
        <v>-4.45</v>
      </c>
      <c r="AV21">
        <v>11.99</v>
      </c>
      <c r="AW21">
        <v>668.58</v>
      </c>
      <c r="AX21">
        <v>0</v>
      </c>
      <c r="AY21">
        <v>416.49</v>
      </c>
      <c r="AZ21">
        <v>44.15</v>
      </c>
      <c r="BA21">
        <v>188195.20000000001</v>
      </c>
      <c r="BB21">
        <v>245.22</v>
      </c>
      <c r="BC21">
        <v>9.31</v>
      </c>
      <c r="BD21">
        <v>6632.85</v>
      </c>
      <c r="BE21">
        <v>5716.53</v>
      </c>
      <c r="BF21">
        <v>8226.0300000000007</v>
      </c>
      <c r="BG21">
        <v>-4.8899999999999997</v>
      </c>
      <c r="BH21">
        <v>4986.25</v>
      </c>
      <c r="BI21">
        <v>930.8</v>
      </c>
      <c r="BJ21">
        <v>1952.35</v>
      </c>
      <c r="BM21">
        <v>0</v>
      </c>
    </row>
    <row r="22" spans="1:70" x14ac:dyDescent="0.2">
      <c r="A22" s="113" t="s">
        <v>42</v>
      </c>
      <c r="E22">
        <v>65.19</v>
      </c>
      <c r="F22">
        <v>509.46</v>
      </c>
      <c r="H22">
        <v>797.46</v>
      </c>
      <c r="I22">
        <v>1642.92</v>
      </c>
      <c r="K22">
        <v>280.04000000000002</v>
      </c>
      <c r="L22">
        <v>23.24</v>
      </c>
      <c r="M22">
        <v>77.75</v>
      </c>
      <c r="N22">
        <v>6.38</v>
      </c>
      <c r="O22">
        <v>110.99</v>
      </c>
      <c r="P22">
        <v>293.86</v>
      </c>
      <c r="Q22">
        <v>597.92999999999995</v>
      </c>
      <c r="R22">
        <v>17.100000000000001</v>
      </c>
      <c r="S22">
        <v>501.93</v>
      </c>
      <c r="U22">
        <v>24.45</v>
      </c>
      <c r="V22">
        <v>0</v>
      </c>
      <c r="W22">
        <v>15.56</v>
      </c>
      <c r="X22">
        <v>9.25</v>
      </c>
      <c r="Y22">
        <v>1157.33</v>
      </c>
      <c r="Z22">
        <v>265.95</v>
      </c>
      <c r="AA22">
        <v>6526.2</v>
      </c>
      <c r="AB22">
        <v>652.63</v>
      </c>
      <c r="AC22">
        <v>8.9499999999999993</v>
      </c>
      <c r="AD22">
        <v>18.5</v>
      </c>
      <c r="AE22">
        <v>9.25</v>
      </c>
      <c r="AF22">
        <v>5.36</v>
      </c>
      <c r="AG22">
        <v>-3618.64</v>
      </c>
      <c r="AH22">
        <v>49.52</v>
      </c>
      <c r="AJ22">
        <v>8.8699999999999992</v>
      </c>
      <c r="AL22">
        <v>9.25</v>
      </c>
      <c r="AM22">
        <v>19.05</v>
      </c>
      <c r="AN22">
        <v>525.77</v>
      </c>
      <c r="AO22">
        <v>9.25</v>
      </c>
      <c r="AP22">
        <v>1959.13</v>
      </c>
      <c r="AQ22">
        <v>189.65</v>
      </c>
      <c r="AR22">
        <v>0</v>
      </c>
      <c r="AS22">
        <v>30661.75</v>
      </c>
      <c r="AT22">
        <v>615.62</v>
      </c>
      <c r="AV22">
        <v>7.93</v>
      </c>
      <c r="AW22">
        <v>706.72</v>
      </c>
      <c r="AX22">
        <v>0</v>
      </c>
      <c r="AY22">
        <v>302.12</v>
      </c>
      <c r="AZ22">
        <v>29.87</v>
      </c>
      <c r="BA22">
        <v>8.9600000000000009</v>
      </c>
      <c r="BB22">
        <v>155.01</v>
      </c>
      <c r="BC22">
        <v>9.5399999999999991</v>
      </c>
      <c r="BD22">
        <v>6624.08</v>
      </c>
      <c r="BE22">
        <v>5742.7</v>
      </c>
      <c r="BF22">
        <v>8195.89</v>
      </c>
      <c r="BG22">
        <v>-9.7799999999999994</v>
      </c>
      <c r="BH22">
        <v>3762.95</v>
      </c>
      <c r="BI22">
        <v>337.37</v>
      </c>
      <c r="BJ22">
        <v>1810.22</v>
      </c>
      <c r="BM22">
        <v>177.92</v>
      </c>
    </row>
    <row r="23" spans="1:70" x14ac:dyDescent="0.2">
      <c r="A23" s="113" t="s">
        <v>43</v>
      </c>
      <c r="E23">
        <v>34.840000000000003</v>
      </c>
      <c r="F23">
        <v>195.39</v>
      </c>
      <c r="H23">
        <v>510.26</v>
      </c>
      <c r="I23">
        <v>1318.64</v>
      </c>
      <c r="K23">
        <v>143.88</v>
      </c>
      <c r="L23">
        <v>15.23</v>
      </c>
      <c r="M23">
        <v>36.549999999999997</v>
      </c>
      <c r="N23">
        <v>10.34</v>
      </c>
      <c r="O23">
        <v>81.66</v>
      </c>
      <c r="P23">
        <v>427.78</v>
      </c>
      <c r="Q23">
        <v>318.64999999999998</v>
      </c>
      <c r="R23">
        <v>9.5399999999999991</v>
      </c>
      <c r="S23">
        <v>306.86</v>
      </c>
      <c r="U23">
        <v>19.47</v>
      </c>
      <c r="V23">
        <v>245.52</v>
      </c>
      <c r="W23">
        <v>15.56</v>
      </c>
      <c r="X23">
        <v>9.25</v>
      </c>
      <c r="Y23">
        <v>841.98</v>
      </c>
      <c r="Z23">
        <v>134.85</v>
      </c>
      <c r="AA23">
        <v>3934.57</v>
      </c>
      <c r="AB23">
        <v>405.75</v>
      </c>
      <c r="AC23">
        <v>8.9499999999999993</v>
      </c>
      <c r="AD23">
        <v>18.489999999999998</v>
      </c>
      <c r="AE23">
        <v>9.25</v>
      </c>
      <c r="AF23">
        <v>12.27</v>
      </c>
      <c r="AG23">
        <v>-3623.09</v>
      </c>
      <c r="AH23">
        <v>66.47</v>
      </c>
      <c r="AJ23">
        <v>8.8699999999999992</v>
      </c>
      <c r="AL23">
        <v>9.25</v>
      </c>
      <c r="AM23">
        <v>9.25</v>
      </c>
      <c r="AN23">
        <v>181.09</v>
      </c>
      <c r="AO23">
        <v>9.25</v>
      </c>
      <c r="AP23">
        <v>427.5</v>
      </c>
      <c r="AQ23">
        <v>113.48</v>
      </c>
      <c r="AR23">
        <v>-6352.62</v>
      </c>
      <c r="AS23">
        <v>-29863.02</v>
      </c>
      <c r="AT23">
        <v>-13499.26</v>
      </c>
      <c r="AV23">
        <v>10.94</v>
      </c>
      <c r="AW23">
        <v>365.29</v>
      </c>
      <c r="AX23">
        <v>0</v>
      </c>
      <c r="AY23">
        <v>182.26</v>
      </c>
      <c r="AZ23">
        <v>15.72</v>
      </c>
      <c r="BA23">
        <v>3.96</v>
      </c>
      <c r="BB23">
        <v>138.79</v>
      </c>
      <c r="BC23">
        <v>9.5399999999999991</v>
      </c>
      <c r="BD23">
        <v>6652.34</v>
      </c>
      <c r="BE23">
        <v>5724.03</v>
      </c>
      <c r="BF23">
        <v>8173.82</v>
      </c>
      <c r="BG23">
        <v>-14.67</v>
      </c>
      <c r="BH23">
        <v>1971.76</v>
      </c>
      <c r="BI23">
        <v>156.84</v>
      </c>
      <c r="BJ23">
        <v>259.31</v>
      </c>
      <c r="BM23">
        <v>55.55</v>
      </c>
    </row>
    <row r="24" spans="1:70" x14ac:dyDescent="0.2">
      <c r="A24" s="113" t="s">
        <v>44</v>
      </c>
      <c r="E24">
        <v>29.72</v>
      </c>
      <c r="F24">
        <v>88.62</v>
      </c>
      <c r="H24">
        <v>58.71</v>
      </c>
      <c r="I24">
        <v>548.14</v>
      </c>
      <c r="K24">
        <v>47.67</v>
      </c>
      <c r="L24">
        <v>14.39</v>
      </c>
      <c r="M24">
        <v>9.25</v>
      </c>
      <c r="N24">
        <v>9.5399999999999991</v>
      </c>
      <c r="O24">
        <v>35.75</v>
      </c>
      <c r="P24">
        <v>195.22</v>
      </c>
      <c r="Q24">
        <v>107.93</v>
      </c>
      <c r="R24">
        <v>9.5399999999999991</v>
      </c>
      <c r="S24">
        <v>122.53</v>
      </c>
      <c r="U24">
        <v>18.239999999999998</v>
      </c>
      <c r="V24">
        <v>167.49</v>
      </c>
      <c r="W24">
        <v>12.15</v>
      </c>
      <c r="X24">
        <v>9.25</v>
      </c>
      <c r="Y24">
        <v>314.13</v>
      </c>
      <c r="Z24">
        <v>20.18</v>
      </c>
      <c r="AA24">
        <v>2615.37</v>
      </c>
      <c r="AB24">
        <v>182.31</v>
      </c>
      <c r="AC24">
        <v>8.9499999999999993</v>
      </c>
      <c r="AD24">
        <v>9.25</v>
      </c>
      <c r="AE24">
        <v>9.25</v>
      </c>
      <c r="AF24">
        <v>9.59</v>
      </c>
      <c r="AG24">
        <v>-3627.54</v>
      </c>
      <c r="AH24">
        <v>28.72</v>
      </c>
      <c r="AJ24">
        <v>8.8699999999999992</v>
      </c>
      <c r="AL24">
        <v>9.25</v>
      </c>
      <c r="AM24">
        <v>256.62</v>
      </c>
      <c r="AN24">
        <v>41.96</v>
      </c>
      <c r="AO24">
        <v>9.25</v>
      </c>
      <c r="AP24">
        <v>70.239999999999995</v>
      </c>
      <c r="AQ24">
        <v>13.79</v>
      </c>
      <c r="AR24">
        <v>-6357.09</v>
      </c>
      <c r="AS24">
        <v>-29858.11</v>
      </c>
      <c r="AT24">
        <v>-13503.71</v>
      </c>
      <c r="AV24">
        <v>9.7200000000000006</v>
      </c>
      <c r="AW24">
        <v>76.73</v>
      </c>
      <c r="AX24">
        <v>0</v>
      </c>
      <c r="AY24">
        <v>51.95</v>
      </c>
      <c r="AZ24">
        <v>8.19</v>
      </c>
      <c r="BA24">
        <v>0</v>
      </c>
      <c r="BB24">
        <v>27.59</v>
      </c>
      <c r="BC24">
        <v>9.5399999999999991</v>
      </c>
      <c r="BD24">
        <v>6576.33</v>
      </c>
      <c r="BE24">
        <v>5714.74</v>
      </c>
      <c r="BF24">
        <v>8161.29</v>
      </c>
      <c r="BG24">
        <v>-19.559999999999999</v>
      </c>
      <c r="BH24">
        <v>924.11</v>
      </c>
      <c r="BI24">
        <v>50.37</v>
      </c>
      <c r="BJ24">
        <v>182.98</v>
      </c>
      <c r="BL24">
        <v>40.619999999999997</v>
      </c>
      <c r="BM24">
        <v>3139.24</v>
      </c>
    </row>
    <row r="25" spans="1:70" x14ac:dyDescent="0.2">
      <c r="A25" s="113" t="s">
        <v>45</v>
      </c>
      <c r="E25">
        <v>17.059999999999999</v>
      </c>
      <c r="F25">
        <v>8.8699999999999992</v>
      </c>
      <c r="H25">
        <v>12.77</v>
      </c>
      <c r="I25">
        <v>73.39</v>
      </c>
      <c r="K25">
        <v>11.8</v>
      </c>
      <c r="L25">
        <v>14.39</v>
      </c>
      <c r="M25">
        <v>9.25</v>
      </c>
      <c r="N25">
        <v>9.5399999999999991</v>
      </c>
      <c r="O25">
        <v>9.5399999999999991</v>
      </c>
      <c r="P25">
        <v>115.29</v>
      </c>
      <c r="Q25">
        <v>15.41</v>
      </c>
      <c r="R25">
        <v>9.5399999999999991</v>
      </c>
      <c r="S25">
        <v>16.91</v>
      </c>
      <c r="U25">
        <v>15.73</v>
      </c>
      <c r="V25">
        <v>185.95</v>
      </c>
      <c r="W25">
        <v>11.32</v>
      </c>
      <c r="X25">
        <v>9.25</v>
      </c>
      <c r="Y25">
        <v>24.28</v>
      </c>
      <c r="Z25">
        <v>9.5399999999999991</v>
      </c>
      <c r="AA25">
        <v>305.94</v>
      </c>
      <c r="AB25">
        <v>57.85</v>
      </c>
      <c r="AC25">
        <v>8.9499999999999993</v>
      </c>
      <c r="AD25">
        <v>9.25</v>
      </c>
      <c r="AE25">
        <v>9.25</v>
      </c>
      <c r="AF25">
        <v>9.59</v>
      </c>
      <c r="AG25">
        <v>-3631.99</v>
      </c>
      <c r="AH25">
        <v>28.73</v>
      </c>
      <c r="AJ25">
        <v>8.8699999999999992</v>
      </c>
      <c r="AL25">
        <v>9.25</v>
      </c>
      <c r="AM25">
        <v>38.97</v>
      </c>
      <c r="AN25">
        <v>4.83</v>
      </c>
      <c r="AO25">
        <v>9.25</v>
      </c>
      <c r="AP25">
        <v>47.45</v>
      </c>
      <c r="AQ25">
        <v>5.71</v>
      </c>
      <c r="AR25">
        <v>-6361.36</v>
      </c>
      <c r="AS25">
        <v>-29853.200000000001</v>
      </c>
      <c r="AT25">
        <v>-13508.16</v>
      </c>
      <c r="AV25">
        <v>10.94</v>
      </c>
      <c r="AW25">
        <v>28.15</v>
      </c>
      <c r="AX25">
        <v>0</v>
      </c>
      <c r="AY25">
        <v>16.059999999999999</v>
      </c>
      <c r="AZ25">
        <v>8.19</v>
      </c>
      <c r="BA25">
        <v>0</v>
      </c>
      <c r="BB25">
        <v>13.68</v>
      </c>
      <c r="BC25">
        <v>9.5399999999999991</v>
      </c>
      <c r="BD25">
        <v>6590.21</v>
      </c>
      <c r="BE25">
        <v>5718.66</v>
      </c>
      <c r="BF25">
        <v>8184.92</v>
      </c>
      <c r="BG25">
        <v>-24.36</v>
      </c>
      <c r="BH25">
        <v>76.7</v>
      </c>
      <c r="BI25">
        <v>10.14</v>
      </c>
      <c r="BJ25">
        <v>15.06</v>
      </c>
      <c r="BL25">
        <v>11.85</v>
      </c>
      <c r="BM25">
        <v>78.12</v>
      </c>
    </row>
    <row r="26" spans="1:70" x14ac:dyDescent="0.2">
      <c r="A26" s="113" t="s">
        <v>46</v>
      </c>
      <c r="E26">
        <v>9.67</v>
      </c>
      <c r="F26">
        <v>8.8699999999999992</v>
      </c>
      <c r="H26">
        <v>17.79</v>
      </c>
      <c r="I26">
        <v>9.25</v>
      </c>
      <c r="K26">
        <v>9.25</v>
      </c>
      <c r="L26">
        <v>14.39</v>
      </c>
      <c r="M26">
        <v>9.25</v>
      </c>
      <c r="N26">
        <v>9.5399999999999991</v>
      </c>
      <c r="O26">
        <v>10.34</v>
      </c>
      <c r="P26">
        <v>22.4</v>
      </c>
      <c r="Q26">
        <v>9.67</v>
      </c>
      <c r="R26">
        <v>9.5399999999999991</v>
      </c>
      <c r="S26">
        <v>9.5399999999999991</v>
      </c>
      <c r="U26">
        <v>14.48</v>
      </c>
      <c r="V26">
        <v>14.39</v>
      </c>
      <c r="W26">
        <v>11.32</v>
      </c>
      <c r="X26">
        <v>9.25</v>
      </c>
      <c r="Y26">
        <v>20.18</v>
      </c>
      <c r="Z26">
        <v>32.46</v>
      </c>
      <c r="AA26">
        <v>170.02</v>
      </c>
      <c r="AB26">
        <v>65.22</v>
      </c>
      <c r="AC26">
        <v>8.9499999999999993</v>
      </c>
      <c r="AD26">
        <v>9.25</v>
      </c>
      <c r="AE26">
        <v>9.25</v>
      </c>
      <c r="AF26">
        <v>9.59</v>
      </c>
      <c r="AG26">
        <v>-3636.44</v>
      </c>
      <c r="AH26">
        <v>27.85</v>
      </c>
      <c r="AJ26">
        <v>8.8699999999999992</v>
      </c>
      <c r="AL26">
        <v>9.25</v>
      </c>
      <c r="AM26">
        <v>10.96</v>
      </c>
      <c r="AN26">
        <v>0</v>
      </c>
      <c r="AO26">
        <v>9.25</v>
      </c>
      <c r="AP26">
        <v>12.96</v>
      </c>
      <c r="AQ26">
        <v>8.8699999999999992</v>
      </c>
      <c r="AR26">
        <v>-6365.63</v>
      </c>
      <c r="AS26">
        <v>-29848.29</v>
      </c>
      <c r="AT26">
        <v>-13512.61</v>
      </c>
      <c r="AV26">
        <v>9.7200000000000006</v>
      </c>
      <c r="AW26">
        <v>10.08</v>
      </c>
      <c r="AX26">
        <v>0</v>
      </c>
      <c r="AY26">
        <v>9.25</v>
      </c>
      <c r="AZ26">
        <v>8.19</v>
      </c>
      <c r="BA26">
        <v>0</v>
      </c>
      <c r="BB26">
        <v>9.59</v>
      </c>
      <c r="BC26">
        <v>9.5399999999999991</v>
      </c>
      <c r="BD26">
        <v>0</v>
      </c>
      <c r="BE26">
        <v>5716.18</v>
      </c>
      <c r="BF26">
        <v>8201.94</v>
      </c>
      <c r="BG26">
        <v>-29.25</v>
      </c>
      <c r="BH26">
        <v>10.029999999999999</v>
      </c>
      <c r="BI26">
        <v>10.14</v>
      </c>
      <c r="BJ26">
        <v>15.99</v>
      </c>
      <c r="BL26">
        <v>15.89</v>
      </c>
      <c r="BM26">
        <v>83.22</v>
      </c>
    </row>
    <row r="27" spans="1:70" x14ac:dyDescent="0.2">
      <c r="A27" s="113" t="s">
        <v>47</v>
      </c>
      <c r="E27">
        <v>9.67</v>
      </c>
      <c r="F27">
        <v>8.8699999999999992</v>
      </c>
      <c r="H27">
        <v>17.79</v>
      </c>
      <c r="I27">
        <v>9.25</v>
      </c>
      <c r="K27">
        <v>9.25</v>
      </c>
      <c r="L27">
        <v>14.39</v>
      </c>
      <c r="M27">
        <v>9.25</v>
      </c>
      <c r="N27">
        <v>9.5399999999999991</v>
      </c>
      <c r="O27">
        <v>9.5399999999999991</v>
      </c>
      <c r="P27">
        <v>22.41</v>
      </c>
      <c r="Q27">
        <v>9.67</v>
      </c>
      <c r="R27">
        <v>9.5399999999999991</v>
      </c>
      <c r="S27">
        <v>11.99</v>
      </c>
      <c r="U27">
        <v>14.48</v>
      </c>
      <c r="V27">
        <v>10.08</v>
      </c>
      <c r="W27">
        <v>10.51</v>
      </c>
      <c r="X27">
        <v>9.25</v>
      </c>
      <c r="Y27">
        <v>16.91</v>
      </c>
      <c r="Z27">
        <v>9.5399999999999991</v>
      </c>
      <c r="AA27">
        <v>132.38</v>
      </c>
      <c r="AB27">
        <v>53.77</v>
      </c>
      <c r="AC27">
        <v>8.9499999999999993</v>
      </c>
      <c r="AD27">
        <v>9.25</v>
      </c>
      <c r="AE27">
        <v>9.25</v>
      </c>
      <c r="AF27">
        <v>9.59</v>
      </c>
      <c r="AG27">
        <v>-3640.89</v>
      </c>
      <c r="AH27">
        <v>19.850000000000001</v>
      </c>
      <c r="AJ27">
        <v>9.67</v>
      </c>
      <c r="AL27">
        <v>26.32</v>
      </c>
      <c r="AM27">
        <v>25.47</v>
      </c>
      <c r="AN27">
        <v>0</v>
      </c>
      <c r="AO27">
        <v>19.489999999999998</v>
      </c>
      <c r="AP27">
        <v>8.8699999999999992</v>
      </c>
      <c r="AQ27">
        <v>8.8699999999999992</v>
      </c>
      <c r="AR27">
        <v>-6369.9</v>
      </c>
      <c r="AS27">
        <v>-29852.82</v>
      </c>
      <c r="AT27">
        <v>-13513.34</v>
      </c>
      <c r="AV27">
        <v>10.94</v>
      </c>
      <c r="AW27">
        <v>10.08</v>
      </c>
      <c r="AX27">
        <v>-63.77</v>
      </c>
      <c r="AY27">
        <v>10.08</v>
      </c>
      <c r="AZ27">
        <v>8.19</v>
      </c>
      <c r="BA27">
        <v>0</v>
      </c>
      <c r="BB27">
        <v>9.59</v>
      </c>
      <c r="BC27">
        <v>9.5399999999999991</v>
      </c>
      <c r="BD27">
        <v>6626.44</v>
      </c>
      <c r="BE27">
        <v>5707.21</v>
      </c>
      <c r="BF27">
        <v>8225.68</v>
      </c>
      <c r="BG27">
        <v>-23.95</v>
      </c>
      <c r="BH27">
        <v>10.94</v>
      </c>
      <c r="BI27">
        <v>10.14</v>
      </c>
      <c r="BJ27">
        <v>15.06</v>
      </c>
      <c r="BL27">
        <v>15.89</v>
      </c>
      <c r="BM27">
        <v>72.099999999999994</v>
      </c>
    </row>
    <row r="28" spans="1:70" x14ac:dyDescent="0.2">
      <c r="A28" s="113" t="s">
        <v>48</v>
      </c>
      <c r="E28">
        <v>9.67</v>
      </c>
      <c r="F28">
        <v>8.8699999999999992</v>
      </c>
      <c r="H28">
        <v>17.79</v>
      </c>
      <c r="I28">
        <v>9.25</v>
      </c>
      <c r="K28">
        <v>9.25</v>
      </c>
      <c r="L28">
        <v>13.51</v>
      </c>
      <c r="M28">
        <v>9.25</v>
      </c>
      <c r="N28">
        <v>10.34</v>
      </c>
      <c r="O28">
        <v>9.5399999999999991</v>
      </c>
      <c r="P28">
        <v>24.82</v>
      </c>
      <c r="Q28">
        <v>8.8699999999999992</v>
      </c>
      <c r="R28">
        <v>9.5399999999999991</v>
      </c>
      <c r="S28">
        <v>233.98</v>
      </c>
      <c r="U28">
        <v>13.22</v>
      </c>
      <c r="V28">
        <v>9.25</v>
      </c>
      <c r="W28">
        <v>11.32</v>
      </c>
      <c r="X28">
        <v>9.25</v>
      </c>
      <c r="Y28">
        <v>19.38</v>
      </c>
      <c r="Z28">
        <v>9.5399999999999991</v>
      </c>
      <c r="AA28">
        <v>168.44</v>
      </c>
      <c r="AB28">
        <v>63.6</v>
      </c>
      <c r="AC28">
        <v>8.9499999999999993</v>
      </c>
      <c r="AD28">
        <v>9.25</v>
      </c>
      <c r="AE28">
        <v>9.25</v>
      </c>
      <c r="AF28">
        <v>6842.34</v>
      </c>
      <c r="AG28">
        <v>-3645.34</v>
      </c>
      <c r="AH28">
        <v>2968.26</v>
      </c>
      <c r="AJ28">
        <v>8.8699999999999992</v>
      </c>
      <c r="AL28">
        <v>11510.86</v>
      </c>
      <c r="AM28">
        <v>64163.1</v>
      </c>
      <c r="AN28">
        <v>1081.8499999999999</v>
      </c>
      <c r="AO28">
        <v>24011.96</v>
      </c>
      <c r="AP28">
        <v>17.86</v>
      </c>
      <c r="AQ28">
        <v>8.8699999999999992</v>
      </c>
      <c r="AR28">
        <v>-6374.17</v>
      </c>
      <c r="AS28">
        <v>-27377.67</v>
      </c>
      <c r="AT28">
        <v>30056.16</v>
      </c>
      <c r="AV28">
        <v>15.76</v>
      </c>
      <c r="AW28">
        <v>10.08</v>
      </c>
      <c r="AX28">
        <v>-68.040000000000006</v>
      </c>
      <c r="AY28">
        <v>9.25</v>
      </c>
      <c r="AZ28">
        <v>8.19</v>
      </c>
      <c r="BA28">
        <v>6692.87</v>
      </c>
      <c r="BB28">
        <v>9.59</v>
      </c>
      <c r="BC28">
        <v>9.5399999999999991</v>
      </c>
      <c r="BD28">
        <v>6671.57</v>
      </c>
      <c r="BE28">
        <v>5737.68</v>
      </c>
      <c r="BF28">
        <v>8251.8799999999992</v>
      </c>
      <c r="BG28">
        <v>-28.84</v>
      </c>
      <c r="BH28">
        <v>10.029999999999999</v>
      </c>
      <c r="BI28">
        <v>10.14</v>
      </c>
      <c r="BJ28">
        <v>15.06</v>
      </c>
      <c r="BL28">
        <v>17.27</v>
      </c>
      <c r="BM28">
        <v>77.67</v>
      </c>
    </row>
    <row r="29" spans="1:70" x14ac:dyDescent="0.2">
      <c r="A29" s="113" t="s">
        <v>49</v>
      </c>
      <c r="E29">
        <v>9.68</v>
      </c>
      <c r="F29">
        <v>8.8699999999999992</v>
      </c>
      <c r="H29">
        <v>17.8</v>
      </c>
      <c r="I29">
        <v>9.25</v>
      </c>
      <c r="K29">
        <v>10.09</v>
      </c>
      <c r="L29">
        <v>14.39</v>
      </c>
      <c r="M29">
        <v>9.25</v>
      </c>
      <c r="N29">
        <v>9.5399999999999991</v>
      </c>
      <c r="O29">
        <v>9.5399999999999991</v>
      </c>
      <c r="P29">
        <v>24.83</v>
      </c>
      <c r="Q29">
        <v>8.8699999999999992</v>
      </c>
      <c r="R29">
        <v>9.5399999999999991</v>
      </c>
      <c r="S29">
        <v>707.5</v>
      </c>
      <c r="U29">
        <v>14.51</v>
      </c>
      <c r="V29">
        <v>9.25</v>
      </c>
      <c r="W29">
        <v>10.51</v>
      </c>
      <c r="X29">
        <v>9.25</v>
      </c>
      <c r="Y29">
        <v>16.920000000000002</v>
      </c>
      <c r="Z29">
        <v>10.35</v>
      </c>
      <c r="AA29">
        <v>131.76</v>
      </c>
      <c r="AB29">
        <v>49.73</v>
      </c>
      <c r="AC29">
        <v>8.9499999999999993</v>
      </c>
      <c r="AD29">
        <v>9.25</v>
      </c>
      <c r="AE29">
        <v>9.25</v>
      </c>
      <c r="AF29">
        <v>51448.07</v>
      </c>
      <c r="AG29">
        <v>42580.74</v>
      </c>
      <c r="AH29">
        <v>59324.78</v>
      </c>
      <c r="AJ29">
        <v>16642.3</v>
      </c>
      <c r="AL29">
        <v>19421.55</v>
      </c>
      <c r="AM29">
        <v>115130.41</v>
      </c>
      <c r="AN29">
        <v>21746.720000000001</v>
      </c>
      <c r="AO29">
        <v>59820.61</v>
      </c>
      <c r="AP29">
        <v>0</v>
      </c>
      <c r="AQ29">
        <v>33770.050000000003</v>
      </c>
      <c r="AR29">
        <v>30054.83</v>
      </c>
      <c r="AS29">
        <v>35500.699999999997</v>
      </c>
      <c r="AT29">
        <v>16542.82</v>
      </c>
      <c r="AV29">
        <v>19.41</v>
      </c>
      <c r="AW29">
        <v>10.08</v>
      </c>
      <c r="AX29">
        <v>-72.31</v>
      </c>
      <c r="AY29">
        <v>9.25</v>
      </c>
      <c r="AZ29">
        <v>15.76</v>
      </c>
      <c r="BA29">
        <v>83948.01</v>
      </c>
      <c r="BB29">
        <v>9.59</v>
      </c>
      <c r="BC29">
        <v>9.5399999999999991</v>
      </c>
      <c r="BD29">
        <v>10409.26</v>
      </c>
      <c r="BE29">
        <v>5790</v>
      </c>
      <c r="BF29">
        <v>8268.6200000000008</v>
      </c>
      <c r="BG29">
        <v>61353.26</v>
      </c>
      <c r="BH29">
        <v>10.029999999999999</v>
      </c>
      <c r="BI29">
        <v>10.14</v>
      </c>
      <c r="BJ29">
        <v>15.99</v>
      </c>
      <c r="BL29">
        <v>21.41</v>
      </c>
      <c r="BM29">
        <v>77.67</v>
      </c>
    </row>
    <row r="30" spans="1:70" x14ac:dyDescent="0.2">
      <c r="A30" s="113" t="s">
        <v>50</v>
      </c>
      <c r="E30">
        <v>16.8</v>
      </c>
      <c r="F30">
        <v>9.74</v>
      </c>
      <c r="H30">
        <v>16.940000000000001</v>
      </c>
      <c r="I30">
        <v>96.48</v>
      </c>
      <c r="K30">
        <v>27.62</v>
      </c>
      <c r="L30">
        <v>15.68</v>
      </c>
      <c r="M30">
        <v>11.07</v>
      </c>
      <c r="N30">
        <v>9.5399999999999991</v>
      </c>
      <c r="O30">
        <v>39.5</v>
      </c>
      <c r="P30">
        <v>23.67</v>
      </c>
      <c r="Q30">
        <v>40.58</v>
      </c>
      <c r="R30">
        <v>13.93</v>
      </c>
      <c r="S30">
        <v>469.45</v>
      </c>
      <c r="U30">
        <v>16.420000000000002</v>
      </c>
      <c r="V30">
        <v>9.25</v>
      </c>
      <c r="W30">
        <v>11.33</v>
      </c>
      <c r="X30">
        <v>9.25</v>
      </c>
      <c r="Y30">
        <v>223.27</v>
      </c>
      <c r="Z30">
        <v>32.44</v>
      </c>
      <c r="AA30">
        <v>2318.9299999999998</v>
      </c>
      <c r="AB30">
        <v>155.25</v>
      </c>
      <c r="AC30">
        <v>8.9499999999999993</v>
      </c>
      <c r="AD30">
        <v>9.25</v>
      </c>
      <c r="AE30">
        <v>9.25</v>
      </c>
      <c r="AF30">
        <v>14655.89</v>
      </c>
      <c r="AG30">
        <v>21651.86</v>
      </c>
      <c r="AH30">
        <v>12005.18</v>
      </c>
      <c r="AJ30">
        <v>10525.67</v>
      </c>
      <c r="AL30">
        <v>15847.09</v>
      </c>
      <c r="AM30">
        <v>24875.26</v>
      </c>
      <c r="AN30">
        <v>26092.48</v>
      </c>
      <c r="AO30">
        <v>23787.08</v>
      </c>
      <c r="AP30">
        <v>47364.639999999999</v>
      </c>
      <c r="AQ30">
        <v>29009</v>
      </c>
      <c r="AR30">
        <v>17140.18</v>
      </c>
      <c r="AS30">
        <v>4129.4399999999996</v>
      </c>
      <c r="AT30">
        <v>15124.81</v>
      </c>
      <c r="AV30">
        <v>20.37</v>
      </c>
      <c r="AW30">
        <v>11.81</v>
      </c>
      <c r="AX30">
        <v>-76.58</v>
      </c>
      <c r="AY30">
        <v>41.38</v>
      </c>
      <c r="AZ30">
        <v>21.91</v>
      </c>
      <c r="BA30">
        <v>18285.509999999998</v>
      </c>
      <c r="BB30">
        <v>21.07</v>
      </c>
      <c r="BC30">
        <v>9.5399999999999991</v>
      </c>
      <c r="BD30">
        <v>6847.63</v>
      </c>
      <c r="BE30">
        <v>5889.45</v>
      </c>
      <c r="BF30">
        <v>8493.2199999999993</v>
      </c>
      <c r="BG30">
        <v>54605.07</v>
      </c>
      <c r="BH30">
        <v>11.02</v>
      </c>
      <c r="BI30">
        <v>10.14</v>
      </c>
      <c r="BJ30">
        <v>15.07</v>
      </c>
      <c r="BL30">
        <v>25.61</v>
      </c>
      <c r="BM30">
        <v>65.680000000000007</v>
      </c>
    </row>
    <row r="31" spans="1:70" x14ac:dyDescent="0.2">
      <c r="A31" s="113" t="s">
        <v>51</v>
      </c>
      <c r="E31">
        <v>23.86</v>
      </c>
      <c r="F31">
        <v>161.37</v>
      </c>
      <c r="H31">
        <v>124.81</v>
      </c>
      <c r="I31">
        <v>343.49</v>
      </c>
      <c r="K31">
        <v>116.98</v>
      </c>
      <c r="L31">
        <v>17.52</v>
      </c>
      <c r="M31">
        <v>21.18</v>
      </c>
      <c r="N31">
        <v>9.5399999999999991</v>
      </c>
      <c r="O31">
        <v>88.36</v>
      </c>
      <c r="P31">
        <v>126.04</v>
      </c>
      <c r="Q31">
        <v>382.7</v>
      </c>
      <c r="R31">
        <v>13.07</v>
      </c>
      <c r="S31">
        <v>763.34</v>
      </c>
      <c r="U31">
        <v>17.809999999999999</v>
      </c>
      <c r="V31">
        <v>56.09</v>
      </c>
      <c r="W31">
        <v>12.4</v>
      </c>
      <c r="X31">
        <v>9.25</v>
      </c>
      <c r="Y31">
        <v>747.81</v>
      </c>
      <c r="Z31">
        <v>147.72</v>
      </c>
      <c r="AA31">
        <v>4123.51</v>
      </c>
      <c r="AB31">
        <v>461.01</v>
      </c>
      <c r="AC31">
        <v>8.9499999999999993</v>
      </c>
      <c r="AD31">
        <v>9.25</v>
      </c>
      <c r="AE31">
        <v>9.25</v>
      </c>
      <c r="AF31">
        <v>668.97</v>
      </c>
      <c r="AG31">
        <v>391.99</v>
      </c>
      <c r="AH31">
        <v>442.65</v>
      </c>
      <c r="AJ31">
        <v>355.48</v>
      </c>
      <c r="AL31">
        <v>491.58</v>
      </c>
      <c r="AM31">
        <v>4543.4799999999996</v>
      </c>
      <c r="AN31">
        <v>798.57</v>
      </c>
      <c r="AO31">
        <v>273.31</v>
      </c>
      <c r="AP31">
        <v>10476.18</v>
      </c>
      <c r="AQ31">
        <v>2141.63</v>
      </c>
      <c r="AR31">
        <v>5615.56</v>
      </c>
      <c r="AS31">
        <v>66.05</v>
      </c>
      <c r="AT31">
        <v>0</v>
      </c>
      <c r="AV31">
        <v>66.86</v>
      </c>
      <c r="AW31">
        <v>118.95</v>
      </c>
      <c r="AX31">
        <v>-80.849999999999994</v>
      </c>
      <c r="AY31">
        <v>182.48</v>
      </c>
      <c r="AZ31">
        <v>34.340000000000003</v>
      </c>
      <c r="BA31">
        <v>2733.69</v>
      </c>
      <c r="BB31">
        <v>70.37</v>
      </c>
      <c r="BC31">
        <v>9.5</v>
      </c>
      <c r="BD31">
        <v>6727.26</v>
      </c>
      <c r="BE31">
        <v>5853.83</v>
      </c>
      <c r="BF31">
        <v>8434.91</v>
      </c>
      <c r="BG31">
        <v>2720.55</v>
      </c>
      <c r="BH31">
        <v>832.8</v>
      </c>
      <c r="BI31">
        <v>10.14</v>
      </c>
      <c r="BJ31">
        <v>108.19</v>
      </c>
      <c r="BL31">
        <v>0</v>
      </c>
      <c r="BM31">
        <v>223.39</v>
      </c>
    </row>
    <row r="32" spans="1:70" x14ac:dyDescent="0.2">
      <c r="A32" s="113" t="s">
        <v>52</v>
      </c>
      <c r="E32">
        <v>66.42</v>
      </c>
      <c r="F32">
        <v>153.12</v>
      </c>
      <c r="H32">
        <v>375.97</v>
      </c>
      <c r="I32">
        <v>1019.91</v>
      </c>
      <c r="K32">
        <v>174.94</v>
      </c>
      <c r="L32">
        <v>15.13</v>
      </c>
      <c r="M32">
        <v>60.08</v>
      </c>
      <c r="O32">
        <v>148.69999999999999</v>
      </c>
      <c r="P32">
        <v>210.08</v>
      </c>
      <c r="Q32">
        <v>457.41</v>
      </c>
      <c r="R32">
        <v>19.57</v>
      </c>
      <c r="S32">
        <v>773.82</v>
      </c>
      <c r="U32">
        <v>17.93</v>
      </c>
      <c r="V32">
        <v>155.08000000000001</v>
      </c>
      <c r="W32">
        <v>13.27</v>
      </c>
      <c r="X32">
        <v>9.25</v>
      </c>
      <c r="Y32">
        <v>1556.32</v>
      </c>
      <c r="Z32">
        <v>313.39</v>
      </c>
      <c r="AA32">
        <v>7375.32</v>
      </c>
      <c r="AB32">
        <v>936.71</v>
      </c>
      <c r="AC32">
        <v>8.9499999999999993</v>
      </c>
      <c r="AD32">
        <v>25.37</v>
      </c>
      <c r="AE32">
        <v>6.87</v>
      </c>
      <c r="AF32">
        <v>6.43</v>
      </c>
      <c r="AG32">
        <v>-4.45</v>
      </c>
      <c r="AH32">
        <v>7.22</v>
      </c>
      <c r="AJ32">
        <v>8.8699999999999992</v>
      </c>
      <c r="AL32">
        <v>0</v>
      </c>
      <c r="AM32">
        <v>259.73</v>
      </c>
      <c r="AN32">
        <v>408.65</v>
      </c>
      <c r="AO32">
        <v>6.59</v>
      </c>
      <c r="AP32">
        <v>3675.52</v>
      </c>
      <c r="AQ32">
        <v>178.32</v>
      </c>
      <c r="AR32">
        <v>-4.2699999999999996</v>
      </c>
      <c r="AS32">
        <v>284.79000000000002</v>
      </c>
      <c r="AT32">
        <v>0</v>
      </c>
      <c r="AV32">
        <v>11.25</v>
      </c>
      <c r="AW32">
        <v>269.12</v>
      </c>
      <c r="AX32">
        <v>-87.34</v>
      </c>
      <c r="AY32">
        <v>289.62</v>
      </c>
      <c r="AZ32">
        <v>33.01</v>
      </c>
      <c r="BA32">
        <v>3.19</v>
      </c>
      <c r="BB32">
        <v>90.9</v>
      </c>
      <c r="BC32">
        <v>9.5399999999999991</v>
      </c>
      <c r="BD32">
        <v>6838.32</v>
      </c>
      <c r="BE32">
        <v>5969.48</v>
      </c>
      <c r="BF32">
        <v>8551.14</v>
      </c>
      <c r="BG32">
        <v>0</v>
      </c>
      <c r="BH32">
        <v>2873.03</v>
      </c>
      <c r="BI32">
        <v>448.5</v>
      </c>
      <c r="BJ32">
        <v>228.86</v>
      </c>
      <c r="BL32">
        <v>47.54</v>
      </c>
      <c r="BM32">
        <v>1437.45</v>
      </c>
    </row>
    <row r="33" spans="1:70" ht="13.5" thickBot="1" x14ac:dyDescent="0.25">
      <c r="A33" s="106" t="s">
        <v>58</v>
      </c>
      <c r="B33" s="116">
        <f>SUM(B21:B32)</f>
        <v>0</v>
      </c>
      <c r="C33" s="116">
        <f>SUM(C21:C32)</f>
        <v>0</v>
      </c>
      <c r="D33" s="116"/>
      <c r="E33" s="116">
        <f t="shared" ref="E33:BF33" si="2">SUM(E21:E32)</f>
        <v>409.50000000000011</v>
      </c>
      <c r="F33" s="116">
        <f t="shared" si="2"/>
        <v>1621.1399999999994</v>
      </c>
      <c r="G33" s="117">
        <f t="shared" si="2"/>
        <v>0</v>
      </c>
      <c r="H33" s="116">
        <f t="shared" si="2"/>
        <v>2635.2300000000005</v>
      </c>
      <c r="I33" s="117">
        <f t="shared" si="2"/>
        <v>7245.32</v>
      </c>
      <c r="J33" s="118">
        <f t="shared" si="2"/>
        <v>0</v>
      </c>
      <c r="K33" s="117">
        <f t="shared" si="2"/>
        <v>1251.55</v>
      </c>
      <c r="L33" s="117">
        <f t="shared" si="2"/>
        <v>195.50000000000003</v>
      </c>
      <c r="M33" s="117">
        <f t="shared" si="2"/>
        <v>370.64</v>
      </c>
      <c r="N33" s="117">
        <f t="shared" si="2"/>
        <v>103.37999999999997</v>
      </c>
      <c r="O33" s="119">
        <f t="shared" si="2"/>
        <v>875.81</v>
      </c>
      <c r="P33" s="117">
        <f t="shared" si="2"/>
        <v>1570.13</v>
      </c>
      <c r="Q33" s="119">
        <f t="shared" si="2"/>
        <v>3359.809999999999</v>
      </c>
      <c r="R33" s="119">
        <f t="shared" si="2"/>
        <v>180.22999999999993</v>
      </c>
      <c r="S33" s="119">
        <f t="shared" si="2"/>
        <v>5405.0199999999995</v>
      </c>
      <c r="T33" s="117">
        <f t="shared" si="2"/>
        <v>0</v>
      </c>
      <c r="U33" s="119">
        <f t="shared" si="2"/>
        <v>212.99</v>
      </c>
      <c r="V33" s="119">
        <f t="shared" si="2"/>
        <v>862.35000000000014</v>
      </c>
      <c r="W33" s="117">
        <f t="shared" si="2"/>
        <v>152.17000000000004</v>
      </c>
      <c r="X33" s="119">
        <f t="shared" si="2"/>
        <v>111</v>
      </c>
      <c r="Y33" s="119">
        <f t="shared" si="2"/>
        <v>7753.5400000000009</v>
      </c>
      <c r="Z33" s="119">
        <f t="shared" si="2"/>
        <v>1603.6</v>
      </c>
      <c r="AA33" s="119">
        <f t="shared" si="2"/>
        <v>39339.759999999995</v>
      </c>
      <c r="AB33" s="119">
        <f t="shared" si="2"/>
        <v>4437.6299999999992</v>
      </c>
      <c r="AC33" s="119">
        <f>SUM(AC21:AC32)</f>
        <v>107.40000000000002</v>
      </c>
      <c r="AD33" s="119">
        <f>SUM(AD21:AD32)</f>
        <v>145.60999999999999</v>
      </c>
      <c r="AE33" s="119"/>
      <c r="AF33" s="119">
        <f>SUM(AF21:AF32)</f>
        <v>73691.509999999995</v>
      </c>
      <c r="AG33" s="119">
        <f>SUM(AG21:AG32)</f>
        <v>35582.020000000004</v>
      </c>
      <c r="AH33" s="119">
        <f>SUM(AH21:AH32)</f>
        <v>75051.22</v>
      </c>
      <c r="AI33" s="119">
        <f>SUM(AI21:AI32)</f>
        <v>0</v>
      </c>
      <c r="AJ33" s="119">
        <f>SUM(AJ21:AJ32)</f>
        <v>27604.079999999994</v>
      </c>
      <c r="AK33" s="119">
        <f t="shared" si="2"/>
        <v>0</v>
      </c>
      <c r="AL33" s="119">
        <f t="shared" si="2"/>
        <v>47352.9</v>
      </c>
      <c r="AM33" s="117">
        <f t="shared" si="2"/>
        <v>209891.11000000004</v>
      </c>
      <c r="AN33" s="117">
        <f t="shared" si="2"/>
        <v>51466.62</v>
      </c>
      <c r="AO33" s="119">
        <f t="shared" si="2"/>
        <v>107974.54</v>
      </c>
      <c r="AP33" s="119">
        <f t="shared" si="2"/>
        <v>69697.23</v>
      </c>
      <c r="AQ33" s="119">
        <f t="shared" si="2"/>
        <v>65640.570000000007</v>
      </c>
      <c r="AR33" s="119">
        <f t="shared" si="2"/>
        <v>20965.540000000008</v>
      </c>
      <c r="AS33" s="119">
        <f t="shared" si="2"/>
        <v>-105550.65000000001</v>
      </c>
      <c r="AT33" s="119">
        <f t="shared" si="2"/>
        <v>-5202.1200000000008</v>
      </c>
      <c r="AU33" s="119">
        <f t="shared" si="2"/>
        <v>0</v>
      </c>
      <c r="AV33" s="119">
        <f t="shared" si="2"/>
        <v>205.82999999999998</v>
      </c>
      <c r="AW33" s="119">
        <f t="shared" si="2"/>
        <v>2285.67</v>
      </c>
      <c r="AX33" s="119">
        <f>SUM(AX21:AX32)</f>
        <v>-448.89</v>
      </c>
      <c r="AY33" s="119">
        <f t="shared" si="2"/>
        <v>1520.19</v>
      </c>
      <c r="AZ33" s="119">
        <f t="shared" si="2"/>
        <v>235.70999999999998</v>
      </c>
      <c r="BA33" s="119">
        <f t="shared" si="2"/>
        <v>299871.39</v>
      </c>
      <c r="BB33" s="119">
        <f t="shared" si="2"/>
        <v>800.99000000000012</v>
      </c>
      <c r="BC33" s="119">
        <f t="shared" si="2"/>
        <v>114.20999999999998</v>
      </c>
      <c r="BD33" s="119">
        <f t="shared" si="2"/>
        <v>77196.290000000008</v>
      </c>
      <c r="BE33" s="119">
        <f t="shared" si="2"/>
        <v>69280.489999999991</v>
      </c>
      <c r="BF33" s="119">
        <f t="shared" si="2"/>
        <v>99369.34</v>
      </c>
      <c r="BG33" s="119">
        <f t="shared" ref="BG33:BM33" si="3">SUM(BG21:BG32)</f>
        <v>118523.58</v>
      </c>
      <c r="BH33" s="119">
        <f t="shared" si="3"/>
        <v>15479.650000000005</v>
      </c>
      <c r="BI33" s="119">
        <f t="shared" si="3"/>
        <v>1994.8600000000006</v>
      </c>
      <c r="BJ33" s="119">
        <f t="shared" si="3"/>
        <v>4634.1399999999994</v>
      </c>
      <c r="BK33" s="119">
        <f t="shared" si="3"/>
        <v>0</v>
      </c>
      <c r="BL33" s="119">
        <f t="shared" si="3"/>
        <v>196.07999999999998</v>
      </c>
      <c r="BM33" s="119">
        <f t="shared" si="3"/>
        <v>5488.0099999999993</v>
      </c>
      <c r="BN33" s="119"/>
      <c r="BO33" s="119"/>
      <c r="BP33" s="119"/>
      <c r="BQ33" s="119"/>
      <c r="BR33" s="119"/>
    </row>
    <row r="34" spans="1:70" ht="13.5" thickTop="1" x14ac:dyDescent="0.2">
      <c r="A34" s="120"/>
      <c r="B34" s="120" t="str">
        <f t="shared" ref="B34:AY34" si="4">IF(B16=0,"",(B33/B16))</f>
        <v/>
      </c>
      <c r="C34" s="120" t="str">
        <f t="shared" si="4"/>
        <v/>
      </c>
      <c r="D34" s="120" t="str">
        <f t="shared" si="4"/>
        <v/>
      </c>
      <c r="E34" s="120">
        <f t="shared" si="4"/>
        <v>1.4677419354838714</v>
      </c>
      <c r="F34" s="120">
        <f t="shared" si="4"/>
        <v>1.2432055214723923</v>
      </c>
      <c r="G34" s="120" t="str">
        <f t="shared" si="4"/>
        <v/>
      </c>
      <c r="H34" s="120">
        <f t="shared" si="4"/>
        <v>1.3242361809045229</v>
      </c>
      <c r="I34" s="120">
        <f t="shared" si="4"/>
        <v>1.2007490884985084</v>
      </c>
      <c r="J34" s="120" t="str">
        <f t="shared" si="4"/>
        <v/>
      </c>
      <c r="K34" s="120">
        <f t="shared" si="4"/>
        <v>1.2616431451612902</v>
      </c>
      <c r="L34" s="120">
        <f t="shared" si="4"/>
        <v>2.2471264367816097</v>
      </c>
      <c r="M34" s="120">
        <f t="shared" si="4"/>
        <v>1.6472888888888888</v>
      </c>
      <c r="N34" s="120">
        <f t="shared" si="4"/>
        <v>51.689999999999984</v>
      </c>
      <c r="O34" s="120">
        <f t="shared" si="4"/>
        <v>1.2318002812939521</v>
      </c>
      <c r="P34" s="120">
        <f t="shared" si="4"/>
        <v>1.5685614385614386</v>
      </c>
      <c r="Q34" s="120">
        <f t="shared" si="4"/>
        <v>1.1601553867403311</v>
      </c>
      <c r="R34" s="120">
        <f t="shared" si="4"/>
        <v>2.9545901639344252</v>
      </c>
      <c r="S34" s="120">
        <f t="shared" si="4"/>
        <v>1.0271797795515012</v>
      </c>
      <c r="T34" s="120" t="str">
        <f t="shared" si="4"/>
        <v/>
      </c>
      <c r="U34" s="120">
        <f t="shared" si="4"/>
        <v>2.5974390243902441</v>
      </c>
      <c r="V34" s="120">
        <f t="shared" si="4"/>
        <v>1.1213914174252277</v>
      </c>
      <c r="W34" s="120">
        <f t="shared" si="4"/>
        <v>3.3815555555555568</v>
      </c>
      <c r="X34" s="120" t="str">
        <f t="shared" si="4"/>
        <v/>
      </c>
      <c r="Y34" s="120">
        <f t="shared" si="4"/>
        <v>1.0925095110610119</v>
      </c>
      <c r="Z34" s="120">
        <f t="shared" si="4"/>
        <v>1.189614243323442</v>
      </c>
      <c r="AA34" s="120">
        <f t="shared" si="4"/>
        <v>1.0265581128333592</v>
      </c>
      <c r="AB34" s="120">
        <f t="shared" si="4"/>
        <v>1.0776177756192324</v>
      </c>
      <c r="AC34" s="120" t="str">
        <f t="shared" si="4"/>
        <v/>
      </c>
      <c r="AD34" s="120" t="str">
        <f t="shared" si="4"/>
        <v/>
      </c>
      <c r="AE34" s="120" t="str">
        <f t="shared" si="4"/>
        <v/>
      </c>
      <c r="AF34" s="120">
        <f t="shared" si="4"/>
        <v>0.73562775143498871</v>
      </c>
      <c r="AG34" s="120">
        <f t="shared" si="4"/>
        <v>0.41807096698390322</v>
      </c>
      <c r="AH34" s="120">
        <f t="shared" si="4"/>
        <v>0.73277179484675992</v>
      </c>
      <c r="AI34" s="120" t="str">
        <f t="shared" si="4"/>
        <v/>
      </c>
      <c r="AJ34" s="120">
        <f t="shared" si="4"/>
        <v>0.77020312499999988</v>
      </c>
      <c r="AK34" s="120" t="str">
        <f t="shared" si="4"/>
        <v/>
      </c>
      <c r="AL34" s="120">
        <f t="shared" si="4"/>
        <v>0.82886224400490116</v>
      </c>
      <c r="AM34" s="120">
        <f t="shared" si="4"/>
        <v>0.75927285421271407</v>
      </c>
      <c r="AN34" s="120">
        <f t="shared" si="4"/>
        <v>0.84013418217433888</v>
      </c>
      <c r="AO34" s="120">
        <f t="shared" si="4"/>
        <v>0.12573059129436395</v>
      </c>
      <c r="AP34" s="120">
        <f t="shared" si="4"/>
        <v>0.36084135810139162</v>
      </c>
      <c r="AQ34" s="120">
        <f t="shared" si="4"/>
        <v>1.7534076824447058</v>
      </c>
      <c r="AR34" s="120">
        <f t="shared" si="4"/>
        <v>0.29917861780612764</v>
      </c>
      <c r="AS34" s="120">
        <f t="shared" si="4"/>
        <v>-2.0396260869565217</v>
      </c>
      <c r="AT34" s="120">
        <f t="shared" si="4"/>
        <v>-8.890081345273089E-2</v>
      </c>
      <c r="AU34" s="120" t="str">
        <f t="shared" si="4"/>
        <v/>
      </c>
      <c r="AV34" s="120">
        <f t="shared" si="4"/>
        <v>2.5101219512195119</v>
      </c>
      <c r="AW34" s="120">
        <f t="shared" si="4"/>
        <v>1.341355633802817</v>
      </c>
      <c r="AX34" s="120" t="str">
        <f t="shared" si="4"/>
        <v/>
      </c>
      <c r="AY34" s="120">
        <f t="shared" si="4"/>
        <v>1.1979432624113475</v>
      </c>
      <c r="AZ34" s="120"/>
      <c r="BA34" s="120"/>
      <c r="BB34" s="120"/>
      <c r="BC34" s="120"/>
      <c r="BD34" s="120"/>
    </row>
  </sheetData>
  <phoneticPr fontId="10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4"/>
  <sheetViews>
    <sheetView topLeftCell="BC21" workbookViewId="0">
      <selection activeCell="BI1" sqref="BI1"/>
    </sheetView>
  </sheetViews>
  <sheetFormatPr defaultRowHeight="12.75" x14ac:dyDescent="0.2"/>
  <cols>
    <col min="5" max="5" width="23.42578125" customWidth="1"/>
    <col min="6" max="6" width="21" customWidth="1"/>
    <col min="8" max="8" width="26.28515625" customWidth="1"/>
    <col min="9" max="9" width="20.28515625" customWidth="1"/>
    <col min="11" max="11" width="24" customWidth="1"/>
    <col min="12" max="12" width="20" customWidth="1"/>
    <col min="13" max="13" width="20.5703125" customWidth="1"/>
    <col min="14" max="14" width="19.85546875" bestFit="1" customWidth="1"/>
    <col min="15" max="15" width="27.7109375" customWidth="1"/>
    <col min="16" max="16" width="23.140625" customWidth="1"/>
    <col min="17" max="17" width="23.5703125" customWidth="1"/>
    <col min="18" max="18" width="20.7109375" customWidth="1"/>
    <col min="19" max="19" width="19.28515625" customWidth="1"/>
    <col min="21" max="21" width="25.42578125" customWidth="1"/>
    <col min="22" max="22" width="19.140625" customWidth="1"/>
    <col min="23" max="23" width="22.5703125" customWidth="1"/>
    <col min="24" max="24" width="21.7109375" customWidth="1"/>
    <col min="25" max="25" width="29.140625" customWidth="1"/>
    <col min="26" max="26" width="20.140625" customWidth="1"/>
    <col min="27" max="27" width="22" customWidth="1"/>
    <col min="28" max="28" width="18.5703125" customWidth="1"/>
    <col min="29" max="29" width="19.5703125" customWidth="1"/>
    <col min="30" max="30" width="21.42578125" customWidth="1"/>
    <col min="31" max="31" width="20.42578125" customWidth="1"/>
    <col min="32" max="32" width="22.140625" customWidth="1"/>
    <col min="33" max="33" width="19.28515625" customWidth="1"/>
    <col min="34" max="34" width="23.42578125" customWidth="1"/>
    <col min="36" max="36" width="21.85546875" customWidth="1"/>
    <col min="38" max="38" width="25.7109375" customWidth="1"/>
    <col min="39" max="39" width="22.28515625" customWidth="1"/>
    <col min="40" max="40" width="19.42578125" customWidth="1"/>
    <col min="41" max="41" width="22.28515625" customWidth="1"/>
    <col min="42" max="42" width="19.5703125" customWidth="1"/>
    <col min="43" max="43" width="23.5703125" customWidth="1"/>
    <col min="44" max="44" width="23.28515625" customWidth="1"/>
    <col min="45" max="45" width="20.28515625" customWidth="1"/>
    <col min="46" max="46" width="21.5703125" customWidth="1"/>
    <col min="48" max="48" width="24.5703125" customWidth="1"/>
    <col min="49" max="49" width="22" customWidth="1"/>
    <col min="50" max="50" width="20.42578125" customWidth="1"/>
    <col min="51" max="51" width="22.28515625" customWidth="1"/>
    <col min="52" max="52" width="25.140625" customWidth="1"/>
    <col min="53" max="53" width="20" customWidth="1"/>
    <col min="54" max="54" width="19.42578125" customWidth="1"/>
    <col min="55" max="55" width="22.7109375" customWidth="1"/>
    <col min="56" max="56" width="20.5703125" customWidth="1"/>
    <col min="57" max="57" width="22" customWidth="1"/>
    <col min="58" max="58" width="24.5703125" customWidth="1"/>
    <col min="59" max="59" width="21.5703125" customWidth="1"/>
    <col min="60" max="60" width="24.5703125" customWidth="1"/>
    <col min="61" max="61" width="24.28515625" customWidth="1"/>
    <col min="62" max="62" width="27.5703125" customWidth="1"/>
    <col min="64" max="64" width="14.5703125" customWidth="1"/>
    <col min="65" max="65" width="18.7109375" customWidth="1"/>
  </cols>
  <sheetData>
    <row r="1" spans="1:70" x14ac:dyDescent="0.2">
      <c r="A1" s="1" t="s">
        <v>64</v>
      </c>
      <c r="B1" s="47">
        <v>594386</v>
      </c>
      <c r="C1" s="26">
        <v>1588956</v>
      </c>
      <c r="D1" s="26"/>
      <c r="E1" s="48" t="s">
        <v>121</v>
      </c>
      <c r="F1" s="48" t="s">
        <v>118</v>
      </c>
      <c r="G1" s="48">
        <v>105744</v>
      </c>
      <c r="H1" s="142" t="s">
        <v>127</v>
      </c>
      <c r="I1" s="140" t="s">
        <v>126</v>
      </c>
      <c r="J1" s="48">
        <v>263754</v>
      </c>
      <c r="K1" s="48" t="s">
        <v>116</v>
      </c>
      <c r="L1" s="26" t="s">
        <v>117</v>
      </c>
      <c r="M1" s="26" t="s">
        <v>115</v>
      </c>
      <c r="N1" s="26" t="s">
        <v>103</v>
      </c>
      <c r="O1" s="26" t="s">
        <v>105</v>
      </c>
      <c r="P1" s="26" t="s">
        <v>112</v>
      </c>
      <c r="Q1" s="26" t="s">
        <v>111</v>
      </c>
      <c r="R1" s="26" t="s">
        <v>109</v>
      </c>
      <c r="S1" s="26" t="s">
        <v>104</v>
      </c>
      <c r="T1" s="26">
        <v>647856</v>
      </c>
      <c r="U1" s="26" t="s">
        <v>101</v>
      </c>
      <c r="V1" s="26" t="s">
        <v>138</v>
      </c>
      <c r="W1" s="26" t="s">
        <v>129</v>
      </c>
      <c r="X1" s="26" t="s">
        <v>123</v>
      </c>
      <c r="Y1" s="26" t="s">
        <v>107</v>
      </c>
      <c r="Z1" s="26" t="s">
        <v>108</v>
      </c>
      <c r="AA1" s="26" t="s">
        <v>110</v>
      </c>
      <c r="AB1" s="26" t="s">
        <v>106</v>
      </c>
      <c r="AC1" s="50" t="s">
        <v>113</v>
      </c>
      <c r="AD1" s="50" t="s">
        <v>119</v>
      </c>
      <c r="AE1" s="26" t="s">
        <v>120</v>
      </c>
      <c r="AF1" s="50" t="s">
        <v>128</v>
      </c>
      <c r="AG1" s="141" t="s">
        <v>125</v>
      </c>
      <c r="AH1" s="50" t="s">
        <v>134</v>
      </c>
      <c r="AI1" s="52">
        <v>749339</v>
      </c>
      <c r="AJ1" s="53" t="s">
        <v>130</v>
      </c>
      <c r="AK1" s="54">
        <v>765933</v>
      </c>
      <c r="AL1" s="53" t="s">
        <v>136</v>
      </c>
      <c r="AM1" s="53" t="s">
        <v>137</v>
      </c>
      <c r="AN1" s="53" t="s">
        <v>140</v>
      </c>
      <c r="AO1" s="53" t="s">
        <v>131</v>
      </c>
      <c r="AP1" s="53" t="s">
        <v>132</v>
      </c>
      <c r="AQ1" s="53" t="s">
        <v>133</v>
      </c>
      <c r="AR1" s="53" t="s">
        <v>139</v>
      </c>
      <c r="AS1" s="53" t="s">
        <v>144</v>
      </c>
      <c r="AT1" s="143" t="s">
        <v>146</v>
      </c>
      <c r="AU1" s="48">
        <v>1060882</v>
      </c>
      <c r="AV1" s="26" t="s">
        <v>95</v>
      </c>
      <c r="AW1" s="7" t="s">
        <v>122</v>
      </c>
      <c r="AX1" s="44" t="s">
        <v>135</v>
      </c>
      <c r="AY1" s="7" t="s">
        <v>93</v>
      </c>
      <c r="AZ1" s="7" t="s">
        <v>94</v>
      </c>
      <c r="BA1" s="7" t="s">
        <v>145</v>
      </c>
      <c r="BB1" s="7" t="s">
        <v>124</v>
      </c>
      <c r="BC1" s="1" t="s">
        <v>114</v>
      </c>
      <c r="BD1" s="1" t="s">
        <v>97</v>
      </c>
      <c r="BE1" s="7" t="s">
        <v>142</v>
      </c>
      <c r="BF1" s="7" t="s">
        <v>143</v>
      </c>
      <c r="BG1" s="139" t="s">
        <v>141</v>
      </c>
      <c r="BH1" s="7" t="s">
        <v>102</v>
      </c>
      <c r="BI1" s="7" t="s">
        <v>100</v>
      </c>
      <c r="BJ1" s="7" t="s">
        <v>96</v>
      </c>
      <c r="BK1" s="7" t="s">
        <v>91</v>
      </c>
      <c r="BL1" s="139">
        <v>210100291062</v>
      </c>
      <c r="BM1" s="7">
        <v>210100699244</v>
      </c>
      <c r="BN1" s="7"/>
      <c r="BO1" s="7"/>
      <c r="BP1" s="7"/>
      <c r="BQ1" s="7"/>
      <c r="BR1" s="7"/>
    </row>
    <row r="2" spans="1:70" ht="51" x14ac:dyDescent="0.2">
      <c r="A2" s="99">
        <v>2024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80</v>
      </c>
      <c r="BE2" s="105" t="s">
        <v>99</v>
      </c>
      <c r="BF2" s="105" t="s">
        <v>98</v>
      </c>
      <c r="BG2" s="105" t="s">
        <v>84</v>
      </c>
      <c r="BH2" s="105" t="s">
        <v>85</v>
      </c>
      <c r="BI2" s="105" t="s">
        <v>88</v>
      </c>
      <c r="BJ2" s="105" t="s">
        <v>90</v>
      </c>
      <c r="BK2" s="105" t="s">
        <v>84</v>
      </c>
      <c r="BL2" s="105" t="s">
        <v>84</v>
      </c>
      <c r="BM2" s="105" t="s">
        <v>147</v>
      </c>
      <c r="BN2" s="105"/>
      <c r="BO2" s="105"/>
      <c r="BP2" s="105"/>
      <c r="BQ2" s="105"/>
      <c r="BR2" s="105"/>
    </row>
    <row r="3" spans="1:70" x14ac:dyDescent="0.2">
      <c r="A3" s="26" t="s">
        <v>59</v>
      </c>
      <c r="E3">
        <v>92</v>
      </c>
      <c r="F3">
        <v>255</v>
      </c>
      <c r="H3">
        <v>653</v>
      </c>
      <c r="I3">
        <v>1254</v>
      </c>
      <c r="K3">
        <v>290</v>
      </c>
      <c r="L3">
        <v>10</v>
      </c>
      <c r="M3">
        <v>130</v>
      </c>
      <c r="N3">
        <v>0</v>
      </c>
      <c r="O3">
        <v>363</v>
      </c>
      <c r="P3">
        <v>153</v>
      </c>
      <c r="Q3">
        <v>1374</v>
      </c>
      <c r="R3">
        <v>177</v>
      </c>
      <c r="S3">
        <v>1201</v>
      </c>
      <c r="U3">
        <v>8</v>
      </c>
      <c r="V3">
        <v>312</v>
      </c>
      <c r="W3">
        <v>7</v>
      </c>
      <c r="X3">
        <v>0</v>
      </c>
      <c r="Y3">
        <v>2043</v>
      </c>
      <c r="Z3">
        <v>477</v>
      </c>
      <c r="AA3">
        <v>8955</v>
      </c>
      <c r="AB3">
        <v>2146</v>
      </c>
      <c r="AC3">
        <v>0</v>
      </c>
      <c r="AD3">
        <v>23</v>
      </c>
      <c r="AE3">
        <v>0</v>
      </c>
      <c r="AF3">
        <v>0</v>
      </c>
      <c r="AG3">
        <v>180</v>
      </c>
      <c r="AH3">
        <v>20</v>
      </c>
      <c r="AJ3">
        <v>0</v>
      </c>
      <c r="AL3">
        <v>0</v>
      </c>
      <c r="AM3">
        <v>497</v>
      </c>
      <c r="AN3">
        <v>340</v>
      </c>
      <c r="AO3">
        <v>0</v>
      </c>
      <c r="AP3">
        <v>620</v>
      </c>
      <c r="AQ3">
        <v>223</v>
      </c>
      <c r="AR3">
        <v>0</v>
      </c>
      <c r="AS3">
        <v>700</v>
      </c>
      <c r="AT3">
        <v>0</v>
      </c>
      <c r="AV3">
        <v>90</v>
      </c>
      <c r="AW3">
        <v>601</v>
      </c>
      <c r="AX3">
        <v>0</v>
      </c>
      <c r="AY3">
        <v>655</v>
      </c>
      <c r="AZ3">
        <v>51</v>
      </c>
      <c r="BA3">
        <v>9</v>
      </c>
      <c r="BB3">
        <v>237</v>
      </c>
      <c r="BC3">
        <v>0</v>
      </c>
      <c r="BD3">
        <v>50373</v>
      </c>
      <c r="BE3">
        <v>46437</v>
      </c>
      <c r="BF3">
        <v>62999</v>
      </c>
      <c r="BG3">
        <v>0</v>
      </c>
      <c r="BH3">
        <v>3762</v>
      </c>
      <c r="BI3">
        <v>503</v>
      </c>
      <c r="BJ3">
        <v>1726</v>
      </c>
      <c r="BL3">
        <v>78</v>
      </c>
      <c r="BM3">
        <v>2245</v>
      </c>
    </row>
    <row r="4" spans="1:70" x14ac:dyDescent="0.2">
      <c r="A4" s="25" t="s">
        <v>42</v>
      </c>
      <c r="E4">
        <v>53</v>
      </c>
      <c r="F4">
        <v>73</v>
      </c>
      <c r="H4">
        <v>579</v>
      </c>
      <c r="I4">
        <v>1027</v>
      </c>
      <c r="K4">
        <v>171</v>
      </c>
      <c r="L4">
        <v>9</v>
      </c>
      <c r="M4">
        <v>42</v>
      </c>
      <c r="N4">
        <v>1</v>
      </c>
      <c r="O4">
        <v>109</v>
      </c>
      <c r="P4">
        <v>250</v>
      </c>
      <c r="Q4">
        <v>770</v>
      </c>
      <c r="R4">
        <v>39</v>
      </c>
      <c r="S4">
        <v>388</v>
      </c>
      <c r="U4">
        <v>10</v>
      </c>
      <c r="V4">
        <v>479</v>
      </c>
      <c r="W4">
        <v>5</v>
      </c>
      <c r="X4">
        <v>0</v>
      </c>
      <c r="Y4">
        <v>1071</v>
      </c>
      <c r="Z4">
        <v>183</v>
      </c>
      <c r="AA4">
        <v>6235</v>
      </c>
      <c r="AB4">
        <v>996</v>
      </c>
      <c r="AC4">
        <v>0</v>
      </c>
      <c r="AD4">
        <v>0</v>
      </c>
      <c r="AE4">
        <v>0</v>
      </c>
      <c r="AF4">
        <v>0</v>
      </c>
      <c r="AG4">
        <v>0</v>
      </c>
      <c r="AH4">
        <v>30</v>
      </c>
      <c r="AJ4">
        <v>0</v>
      </c>
      <c r="AL4">
        <v>0</v>
      </c>
      <c r="AM4">
        <v>0</v>
      </c>
      <c r="AN4">
        <v>320</v>
      </c>
      <c r="AO4">
        <v>0</v>
      </c>
      <c r="AP4">
        <v>0</v>
      </c>
      <c r="AQ4">
        <v>92</v>
      </c>
      <c r="AR4">
        <v>0</v>
      </c>
      <c r="AS4">
        <v>80</v>
      </c>
      <c r="AT4">
        <v>0</v>
      </c>
      <c r="AV4">
        <v>99</v>
      </c>
      <c r="AW4">
        <v>337</v>
      </c>
      <c r="AX4">
        <v>0</v>
      </c>
      <c r="AY4">
        <v>268</v>
      </c>
      <c r="AZ4">
        <v>13</v>
      </c>
      <c r="BA4">
        <v>5</v>
      </c>
      <c r="BB4">
        <v>108</v>
      </c>
      <c r="BC4">
        <v>0</v>
      </c>
      <c r="BD4">
        <v>41966</v>
      </c>
      <c r="BE4">
        <v>42504</v>
      </c>
      <c r="BF4">
        <v>71718</v>
      </c>
      <c r="BG4">
        <v>0</v>
      </c>
      <c r="BH4">
        <v>2281</v>
      </c>
      <c r="BI4">
        <v>486</v>
      </c>
      <c r="BJ4">
        <v>286</v>
      </c>
      <c r="BL4">
        <v>39</v>
      </c>
      <c r="BM4">
        <v>3578</v>
      </c>
    </row>
    <row r="5" spans="1:70" x14ac:dyDescent="0.2">
      <c r="A5" s="25" t="s">
        <v>43</v>
      </c>
      <c r="E5">
        <v>35</v>
      </c>
      <c r="F5">
        <v>14</v>
      </c>
      <c r="H5">
        <v>285</v>
      </c>
      <c r="I5">
        <v>456</v>
      </c>
      <c r="K5">
        <v>23</v>
      </c>
      <c r="L5">
        <v>7</v>
      </c>
      <c r="M5">
        <v>14</v>
      </c>
      <c r="N5">
        <v>0</v>
      </c>
      <c r="O5">
        <v>53</v>
      </c>
      <c r="P5">
        <v>58</v>
      </c>
      <c r="Q5">
        <v>319</v>
      </c>
      <c r="R5">
        <v>0</v>
      </c>
      <c r="S5">
        <v>58</v>
      </c>
      <c r="U5">
        <v>8</v>
      </c>
      <c r="V5">
        <v>203</v>
      </c>
      <c r="W5">
        <v>4</v>
      </c>
      <c r="X5">
        <v>0</v>
      </c>
      <c r="Y5">
        <v>582</v>
      </c>
      <c r="Z5">
        <v>91</v>
      </c>
      <c r="AA5">
        <v>4489</v>
      </c>
      <c r="AB5">
        <v>649</v>
      </c>
      <c r="AC5">
        <v>0</v>
      </c>
      <c r="AD5">
        <v>0</v>
      </c>
      <c r="AE5">
        <v>0</v>
      </c>
      <c r="AF5">
        <v>0</v>
      </c>
      <c r="AG5">
        <v>0</v>
      </c>
      <c r="AH5">
        <v>30</v>
      </c>
      <c r="AJ5">
        <v>0</v>
      </c>
      <c r="AL5">
        <v>0</v>
      </c>
      <c r="AM5">
        <v>228</v>
      </c>
      <c r="AN5">
        <v>200</v>
      </c>
      <c r="AO5">
        <v>0</v>
      </c>
      <c r="AP5">
        <v>0</v>
      </c>
      <c r="AQ5">
        <v>18</v>
      </c>
      <c r="AR5">
        <v>0</v>
      </c>
      <c r="AS5">
        <v>30</v>
      </c>
      <c r="AT5">
        <v>0</v>
      </c>
      <c r="AV5">
        <v>33</v>
      </c>
      <c r="AW5">
        <v>179</v>
      </c>
      <c r="AX5">
        <v>0</v>
      </c>
      <c r="AY5">
        <v>97</v>
      </c>
      <c r="AZ5">
        <v>13</v>
      </c>
      <c r="BA5">
        <v>0</v>
      </c>
      <c r="BB5">
        <v>54</v>
      </c>
      <c r="BC5">
        <v>0</v>
      </c>
      <c r="BD5">
        <v>45629</v>
      </c>
      <c r="BE5">
        <v>39623</v>
      </c>
      <c r="BF5">
        <v>63597</v>
      </c>
      <c r="BG5">
        <v>0</v>
      </c>
      <c r="BH5">
        <v>1573</v>
      </c>
      <c r="BI5">
        <v>131</v>
      </c>
      <c r="BJ5">
        <v>48</v>
      </c>
      <c r="BL5">
        <v>32</v>
      </c>
      <c r="BM5">
        <v>1195</v>
      </c>
    </row>
    <row r="6" spans="1:70" x14ac:dyDescent="0.2">
      <c r="A6" s="25" t="s">
        <v>44</v>
      </c>
      <c r="E6">
        <v>19</v>
      </c>
      <c r="F6">
        <v>0</v>
      </c>
      <c r="H6">
        <v>54</v>
      </c>
      <c r="I6">
        <v>433</v>
      </c>
      <c r="K6">
        <v>0</v>
      </c>
      <c r="L6">
        <v>6</v>
      </c>
      <c r="M6">
        <v>0</v>
      </c>
      <c r="N6">
        <v>0</v>
      </c>
      <c r="O6">
        <v>14</v>
      </c>
      <c r="P6">
        <v>34</v>
      </c>
      <c r="Q6">
        <v>111</v>
      </c>
      <c r="R6">
        <v>0</v>
      </c>
      <c r="S6">
        <v>1</v>
      </c>
      <c r="U6">
        <v>6</v>
      </c>
      <c r="V6">
        <v>95</v>
      </c>
      <c r="W6">
        <v>4</v>
      </c>
      <c r="X6">
        <v>0</v>
      </c>
      <c r="Y6">
        <v>184</v>
      </c>
      <c r="Z6">
        <v>4</v>
      </c>
      <c r="AA6">
        <v>2603</v>
      </c>
      <c r="AB6">
        <v>319</v>
      </c>
      <c r="AC6">
        <v>0</v>
      </c>
      <c r="AD6">
        <v>0</v>
      </c>
      <c r="AE6">
        <v>0</v>
      </c>
      <c r="AF6">
        <v>0</v>
      </c>
      <c r="AG6">
        <v>0</v>
      </c>
      <c r="AH6">
        <v>26</v>
      </c>
      <c r="AJ6">
        <v>0</v>
      </c>
      <c r="AL6">
        <v>0</v>
      </c>
      <c r="AM6">
        <v>0</v>
      </c>
      <c r="AN6">
        <v>100</v>
      </c>
      <c r="AO6">
        <v>0</v>
      </c>
      <c r="AP6">
        <v>0</v>
      </c>
      <c r="AQ6">
        <v>3</v>
      </c>
      <c r="AR6">
        <v>0</v>
      </c>
      <c r="AS6">
        <v>0</v>
      </c>
      <c r="AT6">
        <v>0</v>
      </c>
      <c r="AV6">
        <v>17</v>
      </c>
      <c r="AW6">
        <v>80</v>
      </c>
      <c r="AX6">
        <v>0</v>
      </c>
      <c r="AY6">
        <v>38</v>
      </c>
      <c r="AZ6">
        <v>0</v>
      </c>
      <c r="BA6">
        <v>0</v>
      </c>
      <c r="BB6">
        <v>22</v>
      </c>
      <c r="BC6">
        <v>0</v>
      </c>
      <c r="BD6">
        <v>48185</v>
      </c>
      <c r="BE6">
        <v>37315</v>
      </c>
      <c r="BF6">
        <v>66178.350000000006</v>
      </c>
      <c r="BG6">
        <v>0</v>
      </c>
      <c r="BH6">
        <v>796</v>
      </c>
      <c r="BI6">
        <v>37</v>
      </c>
      <c r="BJ6">
        <v>16</v>
      </c>
      <c r="BL6">
        <v>21</v>
      </c>
      <c r="BM6">
        <v>395</v>
      </c>
    </row>
    <row r="7" spans="1:70" x14ac:dyDescent="0.2">
      <c r="A7" s="25" t="s">
        <v>45</v>
      </c>
      <c r="E7">
        <v>11</v>
      </c>
      <c r="F7">
        <v>0</v>
      </c>
      <c r="H7">
        <v>21</v>
      </c>
      <c r="I7">
        <v>157</v>
      </c>
      <c r="K7">
        <v>0</v>
      </c>
      <c r="L7">
        <v>7</v>
      </c>
      <c r="M7">
        <v>0</v>
      </c>
      <c r="N7">
        <v>0</v>
      </c>
      <c r="O7">
        <v>0</v>
      </c>
      <c r="P7">
        <v>28</v>
      </c>
      <c r="Q7">
        <v>0</v>
      </c>
      <c r="R7">
        <v>0</v>
      </c>
      <c r="S7">
        <v>0</v>
      </c>
      <c r="U7">
        <v>7</v>
      </c>
      <c r="V7">
        <v>73</v>
      </c>
      <c r="W7">
        <v>3</v>
      </c>
      <c r="X7">
        <v>0</v>
      </c>
      <c r="Y7">
        <v>0</v>
      </c>
      <c r="Z7">
        <v>0</v>
      </c>
      <c r="AA7">
        <v>331</v>
      </c>
      <c r="AB7">
        <v>68</v>
      </c>
      <c r="AC7">
        <v>0</v>
      </c>
      <c r="AD7">
        <v>0</v>
      </c>
      <c r="AE7">
        <v>0</v>
      </c>
      <c r="AF7">
        <v>0</v>
      </c>
      <c r="AG7">
        <v>0</v>
      </c>
      <c r="AH7">
        <v>18</v>
      </c>
      <c r="AJ7">
        <v>0</v>
      </c>
      <c r="AL7">
        <v>0</v>
      </c>
      <c r="AM7">
        <v>6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8</v>
      </c>
      <c r="AW7">
        <v>29</v>
      </c>
      <c r="AX7">
        <v>0</v>
      </c>
      <c r="AY7">
        <v>0</v>
      </c>
      <c r="AZ7">
        <v>9</v>
      </c>
      <c r="BA7">
        <v>0</v>
      </c>
      <c r="BB7">
        <v>1</v>
      </c>
      <c r="BC7">
        <v>0</v>
      </c>
      <c r="BD7">
        <v>41673</v>
      </c>
      <c r="BE7">
        <v>31080</v>
      </c>
      <c r="BF7">
        <v>52215.8</v>
      </c>
      <c r="BG7">
        <v>0</v>
      </c>
      <c r="BH7">
        <v>33</v>
      </c>
      <c r="BI7">
        <v>25</v>
      </c>
      <c r="BJ7">
        <v>5</v>
      </c>
      <c r="BL7">
        <v>10</v>
      </c>
      <c r="BM7">
        <v>143</v>
      </c>
    </row>
    <row r="8" spans="1:70" x14ac:dyDescent="0.2">
      <c r="A8" s="25" t="s">
        <v>46</v>
      </c>
      <c r="E8">
        <v>8</v>
      </c>
      <c r="F8">
        <v>0</v>
      </c>
      <c r="H8">
        <v>10</v>
      </c>
      <c r="I8">
        <v>0</v>
      </c>
      <c r="K8">
        <v>0</v>
      </c>
      <c r="L8">
        <v>5</v>
      </c>
      <c r="M8">
        <v>0</v>
      </c>
      <c r="N8">
        <v>0</v>
      </c>
      <c r="O8">
        <v>1</v>
      </c>
      <c r="P8">
        <v>26</v>
      </c>
      <c r="Q8">
        <v>3</v>
      </c>
      <c r="R8">
        <v>0</v>
      </c>
      <c r="S8">
        <v>0</v>
      </c>
      <c r="U8">
        <v>8</v>
      </c>
      <c r="V8">
        <v>0</v>
      </c>
      <c r="W8">
        <v>3</v>
      </c>
      <c r="X8">
        <v>0</v>
      </c>
      <c r="Y8">
        <v>0</v>
      </c>
      <c r="Z8">
        <v>0</v>
      </c>
      <c r="AA8">
        <v>169</v>
      </c>
      <c r="AB8">
        <v>59</v>
      </c>
      <c r="AC8">
        <v>0</v>
      </c>
      <c r="AD8">
        <v>0</v>
      </c>
      <c r="AE8">
        <v>0</v>
      </c>
      <c r="AF8">
        <v>0</v>
      </c>
      <c r="AG8">
        <v>0</v>
      </c>
      <c r="AH8">
        <v>21</v>
      </c>
      <c r="AJ8">
        <v>0</v>
      </c>
      <c r="AL8">
        <v>0</v>
      </c>
      <c r="AM8">
        <v>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7</v>
      </c>
      <c r="AW8">
        <v>5</v>
      </c>
      <c r="AX8">
        <v>0</v>
      </c>
      <c r="AY8">
        <v>0</v>
      </c>
      <c r="AZ8">
        <v>7</v>
      </c>
      <c r="BA8">
        <v>0</v>
      </c>
      <c r="BB8">
        <v>0</v>
      </c>
      <c r="BC8">
        <v>0</v>
      </c>
      <c r="BD8">
        <v>37343</v>
      </c>
      <c r="BE8">
        <v>30617</v>
      </c>
      <c r="BF8">
        <v>63321.49</v>
      </c>
      <c r="BG8">
        <v>0</v>
      </c>
      <c r="BH8">
        <v>0</v>
      </c>
      <c r="BI8">
        <v>0</v>
      </c>
      <c r="BJ8">
        <v>5</v>
      </c>
      <c r="BL8">
        <v>0</v>
      </c>
      <c r="BM8">
        <v>75</v>
      </c>
    </row>
    <row r="9" spans="1:70" x14ac:dyDescent="0.2">
      <c r="A9" s="25" t="s">
        <v>47</v>
      </c>
      <c r="E9">
        <v>7</v>
      </c>
      <c r="F9">
        <v>0</v>
      </c>
      <c r="H9">
        <v>10</v>
      </c>
      <c r="I9">
        <v>0</v>
      </c>
      <c r="K9">
        <v>0</v>
      </c>
      <c r="L9">
        <v>5</v>
      </c>
      <c r="M9">
        <v>1</v>
      </c>
      <c r="N9">
        <v>0</v>
      </c>
      <c r="O9">
        <v>0</v>
      </c>
      <c r="P9">
        <v>28</v>
      </c>
      <c r="Q9">
        <v>1</v>
      </c>
      <c r="R9">
        <v>0</v>
      </c>
      <c r="S9">
        <v>41</v>
      </c>
      <c r="U9">
        <v>4</v>
      </c>
      <c r="V9">
        <v>0</v>
      </c>
      <c r="W9">
        <v>2</v>
      </c>
      <c r="X9">
        <v>0</v>
      </c>
      <c r="Y9">
        <v>0</v>
      </c>
      <c r="Z9">
        <v>0</v>
      </c>
      <c r="AA9">
        <v>186</v>
      </c>
      <c r="AB9">
        <v>63</v>
      </c>
      <c r="AC9">
        <v>0</v>
      </c>
      <c r="AD9">
        <v>0</v>
      </c>
      <c r="AE9">
        <v>0</v>
      </c>
      <c r="AF9">
        <v>0</v>
      </c>
      <c r="AG9">
        <v>0</v>
      </c>
      <c r="AH9">
        <v>14</v>
      </c>
      <c r="AJ9">
        <v>0</v>
      </c>
      <c r="AL9">
        <v>10</v>
      </c>
      <c r="AM9">
        <v>13</v>
      </c>
      <c r="AN9">
        <v>0</v>
      </c>
      <c r="AO9">
        <v>20</v>
      </c>
      <c r="AP9">
        <v>11</v>
      </c>
      <c r="AQ9">
        <v>1</v>
      </c>
      <c r="AR9">
        <v>0</v>
      </c>
      <c r="AS9">
        <v>0</v>
      </c>
      <c r="AT9">
        <v>0</v>
      </c>
      <c r="AV9">
        <v>7</v>
      </c>
      <c r="AW9">
        <v>11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33945</v>
      </c>
      <c r="BE9">
        <v>19573</v>
      </c>
      <c r="BF9">
        <v>67306.52</v>
      </c>
      <c r="BG9">
        <v>0</v>
      </c>
      <c r="BH9">
        <v>0</v>
      </c>
      <c r="BI9">
        <v>0</v>
      </c>
      <c r="BJ9">
        <v>5</v>
      </c>
      <c r="BL9">
        <v>0</v>
      </c>
      <c r="BM9">
        <v>62</v>
      </c>
    </row>
    <row r="10" spans="1:70" x14ac:dyDescent="0.2">
      <c r="A10" s="25" t="s">
        <v>48</v>
      </c>
      <c r="E10">
        <v>3</v>
      </c>
      <c r="F10">
        <v>0</v>
      </c>
      <c r="H10">
        <v>9</v>
      </c>
      <c r="I10">
        <v>0</v>
      </c>
      <c r="K10">
        <v>0</v>
      </c>
      <c r="L10">
        <v>5</v>
      </c>
      <c r="M10">
        <v>0</v>
      </c>
      <c r="N10">
        <v>1</v>
      </c>
      <c r="O10">
        <v>0</v>
      </c>
      <c r="P10">
        <v>28</v>
      </c>
      <c r="Q10">
        <v>1</v>
      </c>
      <c r="R10">
        <v>0</v>
      </c>
      <c r="S10">
        <v>273</v>
      </c>
      <c r="U10">
        <v>5</v>
      </c>
      <c r="V10">
        <v>0</v>
      </c>
      <c r="W10">
        <v>2</v>
      </c>
      <c r="X10">
        <v>0</v>
      </c>
      <c r="Y10">
        <v>0</v>
      </c>
      <c r="Z10">
        <v>0</v>
      </c>
      <c r="AA10">
        <v>163</v>
      </c>
      <c r="AB10">
        <v>56</v>
      </c>
      <c r="AC10">
        <v>0</v>
      </c>
      <c r="AD10">
        <v>0</v>
      </c>
      <c r="AE10">
        <v>0</v>
      </c>
      <c r="AF10">
        <v>2651</v>
      </c>
      <c r="AG10">
        <v>0</v>
      </c>
      <c r="AH10">
        <v>2217</v>
      </c>
      <c r="AJ10">
        <v>0</v>
      </c>
      <c r="AL10">
        <v>1493</v>
      </c>
      <c r="AM10">
        <v>7869</v>
      </c>
      <c r="AN10">
        <v>730</v>
      </c>
      <c r="AO10">
        <v>2560</v>
      </c>
      <c r="AP10">
        <v>0</v>
      </c>
      <c r="AQ10">
        <v>0</v>
      </c>
      <c r="AR10">
        <v>2123</v>
      </c>
      <c r="AS10">
        <v>1402</v>
      </c>
      <c r="AT10">
        <v>1306</v>
      </c>
      <c r="AV10">
        <v>7</v>
      </c>
      <c r="AW10">
        <v>0</v>
      </c>
      <c r="AX10">
        <v>0</v>
      </c>
      <c r="AY10">
        <v>0</v>
      </c>
      <c r="AZ10">
        <v>0</v>
      </c>
      <c r="BA10">
        <v>3644</v>
      </c>
      <c r="BB10">
        <v>0</v>
      </c>
      <c r="BC10">
        <v>0</v>
      </c>
      <c r="BD10">
        <v>34631</v>
      </c>
      <c r="BE10">
        <v>34623</v>
      </c>
      <c r="BF10">
        <v>56708.89</v>
      </c>
      <c r="BG10">
        <v>0</v>
      </c>
      <c r="BH10">
        <v>0</v>
      </c>
      <c r="BI10">
        <v>0</v>
      </c>
      <c r="BJ10">
        <v>5</v>
      </c>
      <c r="BL10">
        <v>0</v>
      </c>
      <c r="BM10">
        <v>63</v>
      </c>
    </row>
    <row r="11" spans="1:70" x14ac:dyDescent="0.2">
      <c r="A11" s="25" t="s">
        <v>49</v>
      </c>
      <c r="E11">
        <v>9</v>
      </c>
      <c r="F11">
        <v>0</v>
      </c>
      <c r="H11">
        <v>10</v>
      </c>
      <c r="I11">
        <v>26</v>
      </c>
      <c r="K11">
        <v>0</v>
      </c>
      <c r="L11">
        <v>6</v>
      </c>
      <c r="M11">
        <v>0</v>
      </c>
      <c r="N11">
        <v>0</v>
      </c>
      <c r="O11">
        <v>0</v>
      </c>
      <c r="P11">
        <v>28</v>
      </c>
      <c r="Q11">
        <v>3</v>
      </c>
      <c r="R11">
        <v>0</v>
      </c>
      <c r="S11">
        <v>766</v>
      </c>
      <c r="U11">
        <v>5</v>
      </c>
      <c r="V11">
        <v>0</v>
      </c>
      <c r="W11">
        <v>3</v>
      </c>
      <c r="X11">
        <v>0</v>
      </c>
      <c r="Y11">
        <v>0</v>
      </c>
      <c r="Z11">
        <v>0</v>
      </c>
      <c r="AA11">
        <v>282</v>
      </c>
      <c r="AB11">
        <v>54</v>
      </c>
      <c r="AC11">
        <v>0</v>
      </c>
      <c r="AD11">
        <v>0</v>
      </c>
      <c r="AE11">
        <v>0</v>
      </c>
      <c r="AF11">
        <v>4065</v>
      </c>
      <c r="AG11">
        <v>2446</v>
      </c>
      <c r="AH11">
        <v>5884</v>
      </c>
      <c r="AJ11">
        <v>765</v>
      </c>
      <c r="AL11">
        <v>636</v>
      </c>
      <c r="AM11">
        <v>11493</v>
      </c>
      <c r="AN11">
        <v>21110</v>
      </c>
      <c r="AO11">
        <v>5435</v>
      </c>
      <c r="AP11">
        <v>3494</v>
      </c>
      <c r="AQ11">
        <v>1376</v>
      </c>
      <c r="AR11">
        <v>3525</v>
      </c>
      <c r="AS11">
        <v>3495</v>
      </c>
      <c r="AT11">
        <v>4632</v>
      </c>
      <c r="AV11">
        <v>7</v>
      </c>
      <c r="AW11">
        <v>8</v>
      </c>
      <c r="AX11">
        <v>0</v>
      </c>
      <c r="AY11">
        <v>0</v>
      </c>
      <c r="AZ11">
        <v>0</v>
      </c>
      <c r="BA11">
        <v>9262</v>
      </c>
      <c r="BB11">
        <v>0</v>
      </c>
      <c r="BC11">
        <v>0</v>
      </c>
      <c r="BD11">
        <v>56028</v>
      </c>
      <c r="BE11">
        <v>37263</v>
      </c>
      <c r="BF11">
        <v>65644.820000000007</v>
      </c>
      <c r="BG11">
        <v>2939</v>
      </c>
      <c r="BH11">
        <v>2</v>
      </c>
      <c r="BI11">
        <v>1</v>
      </c>
      <c r="BJ11">
        <v>4</v>
      </c>
      <c r="BL11">
        <v>5</v>
      </c>
      <c r="BM11">
        <v>73</v>
      </c>
    </row>
    <row r="12" spans="1:70" x14ac:dyDescent="0.2">
      <c r="A12" s="25" t="s">
        <v>50</v>
      </c>
      <c r="E12">
        <v>9</v>
      </c>
      <c r="F12">
        <v>0</v>
      </c>
      <c r="H12">
        <v>19</v>
      </c>
      <c r="I12">
        <v>92</v>
      </c>
      <c r="K12">
        <v>19</v>
      </c>
      <c r="L12">
        <v>6</v>
      </c>
      <c r="M12">
        <v>0</v>
      </c>
      <c r="N12">
        <v>0</v>
      </c>
      <c r="O12">
        <v>4</v>
      </c>
      <c r="P12">
        <v>26</v>
      </c>
      <c r="Q12">
        <v>32</v>
      </c>
      <c r="R12">
        <v>0</v>
      </c>
      <c r="S12">
        <v>567</v>
      </c>
      <c r="U12">
        <v>5</v>
      </c>
      <c r="V12">
        <v>0</v>
      </c>
      <c r="W12">
        <v>3</v>
      </c>
      <c r="X12">
        <v>0</v>
      </c>
      <c r="Y12">
        <v>50</v>
      </c>
      <c r="Z12">
        <v>0</v>
      </c>
      <c r="AA12">
        <v>1926</v>
      </c>
      <c r="AB12">
        <v>94</v>
      </c>
      <c r="AC12">
        <v>0</v>
      </c>
      <c r="AD12">
        <v>0</v>
      </c>
      <c r="AE12">
        <v>0</v>
      </c>
      <c r="AF12">
        <v>959</v>
      </c>
      <c r="AG12">
        <v>5550</v>
      </c>
      <c r="AH12">
        <v>1477</v>
      </c>
      <c r="AJ12">
        <v>1408</v>
      </c>
      <c r="AL12">
        <v>192</v>
      </c>
      <c r="AM12">
        <v>3548</v>
      </c>
      <c r="AN12">
        <v>29740</v>
      </c>
      <c r="AO12">
        <v>1176</v>
      </c>
      <c r="AP12">
        <v>8867</v>
      </c>
      <c r="AQ12">
        <v>5372</v>
      </c>
      <c r="AR12">
        <v>1140</v>
      </c>
      <c r="AS12">
        <v>223</v>
      </c>
      <c r="AT12">
        <v>1367</v>
      </c>
      <c r="AV12">
        <v>12</v>
      </c>
      <c r="AW12">
        <v>1</v>
      </c>
      <c r="AX12">
        <v>0</v>
      </c>
      <c r="AY12">
        <v>8</v>
      </c>
      <c r="AZ12">
        <v>6</v>
      </c>
      <c r="BA12">
        <v>871</v>
      </c>
      <c r="BB12">
        <v>7</v>
      </c>
      <c r="BC12">
        <v>0</v>
      </c>
      <c r="BD12">
        <v>45801</v>
      </c>
      <c r="BE12">
        <v>33440</v>
      </c>
      <c r="BF12">
        <v>78877.23</v>
      </c>
      <c r="BG12">
        <v>5901</v>
      </c>
      <c r="BH12">
        <v>122</v>
      </c>
      <c r="BI12">
        <v>0</v>
      </c>
      <c r="BJ12">
        <v>27</v>
      </c>
      <c r="BL12">
        <v>4</v>
      </c>
      <c r="BM12">
        <v>87</v>
      </c>
    </row>
    <row r="13" spans="1:70" x14ac:dyDescent="0.2">
      <c r="A13" s="25" t="s">
        <v>51</v>
      </c>
      <c r="E13">
        <v>35</v>
      </c>
      <c r="F13">
        <v>4</v>
      </c>
      <c r="H13">
        <v>158</v>
      </c>
      <c r="I13">
        <v>388</v>
      </c>
      <c r="K13">
        <v>77</v>
      </c>
      <c r="L13">
        <v>8</v>
      </c>
      <c r="M13">
        <v>4</v>
      </c>
      <c r="N13">
        <v>0</v>
      </c>
      <c r="O13">
        <v>58</v>
      </c>
      <c r="P13">
        <v>35</v>
      </c>
      <c r="Q13">
        <v>80</v>
      </c>
      <c r="R13">
        <v>3</v>
      </c>
      <c r="S13">
        <v>327</v>
      </c>
      <c r="U13">
        <v>6</v>
      </c>
      <c r="V13">
        <v>12</v>
      </c>
      <c r="W13">
        <v>3</v>
      </c>
      <c r="X13">
        <v>0</v>
      </c>
      <c r="Y13">
        <v>613</v>
      </c>
      <c r="Z13">
        <v>53</v>
      </c>
      <c r="AA13">
        <v>4143</v>
      </c>
      <c r="AB13">
        <v>562</v>
      </c>
      <c r="AC13">
        <v>0</v>
      </c>
      <c r="AD13">
        <v>0</v>
      </c>
      <c r="AE13">
        <v>0</v>
      </c>
      <c r="AF13">
        <v>0</v>
      </c>
      <c r="AG13">
        <v>2006</v>
      </c>
      <c r="AH13">
        <v>1</v>
      </c>
      <c r="AJ13">
        <v>852</v>
      </c>
      <c r="AL13">
        <v>0</v>
      </c>
      <c r="AM13">
        <v>395</v>
      </c>
      <c r="AN13">
        <v>4330</v>
      </c>
      <c r="AO13">
        <v>188</v>
      </c>
      <c r="AP13">
        <v>3925</v>
      </c>
      <c r="AQ13">
        <v>1540</v>
      </c>
      <c r="AR13">
        <v>573</v>
      </c>
      <c r="AS13">
        <v>1</v>
      </c>
      <c r="AT13">
        <v>50</v>
      </c>
      <c r="AV13">
        <v>31</v>
      </c>
      <c r="AW13">
        <v>3</v>
      </c>
      <c r="AX13">
        <v>0</v>
      </c>
      <c r="AY13">
        <v>115</v>
      </c>
      <c r="AZ13">
        <v>21</v>
      </c>
      <c r="BA13">
        <v>0</v>
      </c>
      <c r="BB13">
        <v>39</v>
      </c>
      <c r="BC13">
        <v>0</v>
      </c>
      <c r="BD13">
        <v>37334</v>
      </c>
      <c r="BE13">
        <v>37244</v>
      </c>
      <c r="BF13">
        <v>72572.73</v>
      </c>
      <c r="BG13">
        <v>2075</v>
      </c>
      <c r="BH13">
        <v>1526</v>
      </c>
      <c r="BI13">
        <v>9</v>
      </c>
      <c r="BJ13">
        <v>370</v>
      </c>
      <c r="BL13">
        <v>10</v>
      </c>
      <c r="BM13">
        <v>383</v>
      </c>
    </row>
    <row r="14" spans="1:70" x14ac:dyDescent="0.2">
      <c r="A14" s="25" t="s">
        <v>52</v>
      </c>
      <c r="E14">
        <v>73</v>
      </c>
      <c r="F14">
        <v>230</v>
      </c>
      <c r="H14">
        <v>480</v>
      </c>
      <c r="I14">
        <v>1007</v>
      </c>
      <c r="K14">
        <v>158</v>
      </c>
      <c r="L14">
        <v>8</v>
      </c>
      <c r="M14">
        <v>61</v>
      </c>
      <c r="N14">
        <v>1</v>
      </c>
      <c r="O14">
        <v>113</v>
      </c>
      <c r="P14">
        <v>104</v>
      </c>
      <c r="Q14">
        <v>378</v>
      </c>
      <c r="R14">
        <v>48</v>
      </c>
      <c r="S14">
        <v>772</v>
      </c>
      <c r="U14">
        <v>3</v>
      </c>
      <c r="V14">
        <v>144</v>
      </c>
      <c r="W14">
        <v>6</v>
      </c>
      <c r="X14">
        <v>0</v>
      </c>
      <c r="Y14">
        <v>1688</v>
      </c>
      <c r="Z14">
        <v>362</v>
      </c>
      <c r="AA14">
        <v>7467</v>
      </c>
      <c r="AB14">
        <v>1335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10</v>
      </c>
      <c r="AJ14">
        <v>0</v>
      </c>
      <c r="AL14">
        <v>0</v>
      </c>
      <c r="AM14">
        <v>3990</v>
      </c>
      <c r="AN14">
        <v>310</v>
      </c>
      <c r="AO14">
        <v>0</v>
      </c>
      <c r="AP14">
        <v>980</v>
      </c>
      <c r="AQ14">
        <v>590</v>
      </c>
      <c r="AR14">
        <v>0</v>
      </c>
      <c r="AS14">
        <v>320</v>
      </c>
      <c r="AT14">
        <v>0</v>
      </c>
      <c r="AV14">
        <v>58</v>
      </c>
      <c r="AW14">
        <v>239</v>
      </c>
      <c r="AX14">
        <v>0</v>
      </c>
      <c r="AY14">
        <v>413</v>
      </c>
      <c r="AZ14">
        <v>21</v>
      </c>
      <c r="BA14">
        <v>760</v>
      </c>
      <c r="BB14">
        <v>116</v>
      </c>
      <c r="BC14">
        <v>0</v>
      </c>
      <c r="BD14">
        <v>41228</v>
      </c>
      <c r="BE14">
        <v>38048</v>
      </c>
      <c r="BF14">
        <v>71144.990000000005</v>
      </c>
      <c r="BG14">
        <v>0</v>
      </c>
      <c r="BH14">
        <v>3477</v>
      </c>
      <c r="BI14">
        <v>120</v>
      </c>
      <c r="BJ14">
        <v>1031</v>
      </c>
      <c r="BL14">
        <v>37</v>
      </c>
      <c r="BM14">
        <v>1174</v>
      </c>
    </row>
    <row r="15" spans="1:70" ht="13.5" thickBot="1" x14ac:dyDescent="0.25">
      <c r="A15" s="92" t="s">
        <v>58</v>
      </c>
      <c r="B15" s="93">
        <f>SUM(B3:B14)/10</f>
        <v>0</v>
      </c>
      <c r="C15" s="93">
        <f>SUM(C3:C14)/10</f>
        <v>0</v>
      </c>
      <c r="D15" s="93">
        <f>SUM(D3:D14)/10</f>
        <v>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7"/>
      <c r="BO15" s="97"/>
      <c r="BP15" s="97"/>
      <c r="BQ15" s="97"/>
      <c r="BR15" s="97"/>
    </row>
    <row r="16" spans="1:70" ht="13.5" thickTop="1" x14ac:dyDescent="0.2">
      <c r="A16" s="92"/>
      <c r="B16" s="134">
        <f>SUM(B3:B14)</f>
        <v>0</v>
      </c>
      <c r="C16" s="134">
        <f t="shared" ref="C16:BM16" si="0">SUM(C3:C14)</f>
        <v>0</v>
      </c>
      <c r="D16" s="134">
        <f t="shared" si="0"/>
        <v>0</v>
      </c>
      <c r="E16" s="134">
        <f t="shared" si="0"/>
        <v>354</v>
      </c>
      <c r="F16" s="134">
        <f t="shared" si="0"/>
        <v>576</v>
      </c>
      <c r="G16" s="134">
        <f t="shared" si="0"/>
        <v>0</v>
      </c>
      <c r="H16" s="134">
        <f t="shared" si="0"/>
        <v>2288</v>
      </c>
      <c r="I16" s="134">
        <f t="shared" si="0"/>
        <v>4840</v>
      </c>
      <c r="J16" s="134">
        <f t="shared" si="0"/>
        <v>0</v>
      </c>
      <c r="K16" s="134">
        <f t="shared" si="0"/>
        <v>738</v>
      </c>
      <c r="L16" s="134">
        <f t="shared" si="0"/>
        <v>82</v>
      </c>
      <c r="M16" s="134">
        <f t="shared" si="0"/>
        <v>252</v>
      </c>
      <c r="N16" s="134">
        <f t="shared" si="0"/>
        <v>3</v>
      </c>
      <c r="O16" s="134">
        <f t="shared" si="0"/>
        <v>715</v>
      </c>
      <c r="P16" s="134">
        <f t="shared" si="0"/>
        <v>798</v>
      </c>
      <c r="Q16" s="134">
        <f t="shared" si="0"/>
        <v>3072</v>
      </c>
      <c r="R16" s="134">
        <f t="shared" si="0"/>
        <v>267</v>
      </c>
      <c r="S16" s="134">
        <f t="shared" si="0"/>
        <v>4394</v>
      </c>
      <c r="T16" s="134">
        <f t="shared" si="0"/>
        <v>0</v>
      </c>
      <c r="U16" s="134">
        <f t="shared" si="0"/>
        <v>75</v>
      </c>
      <c r="V16" s="134">
        <f t="shared" si="0"/>
        <v>1318</v>
      </c>
      <c r="W16" s="134">
        <f t="shared" si="0"/>
        <v>45</v>
      </c>
      <c r="X16" s="134">
        <f t="shared" si="0"/>
        <v>0</v>
      </c>
      <c r="Y16" s="134">
        <f t="shared" si="0"/>
        <v>6231</v>
      </c>
      <c r="Z16" s="134">
        <f t="shared" si="0"/>
        <v>1170</v>
      </c>
      <c r="AA16" s="134">
        <f t="shared" si="0"/>
        <v>36949</v>
      </c>
      <c r="AB16" s="134">
        <f t="shared" si="0"/>
        <v>6401</v>
      </c>
      <c r="AC16" s="134">
        <f t="shared" si="0"/>
        <v>0</v>
      </c>
      <c r="AD16" s="134">
        <f t="shared" si="0"/>
        <v>23</v>
      </c>
      <c r="AE16" s="134">
        <f t="shared" si="0"/>
        <v>0</v>
      </c>
      <c r="AF16" s="134">
        <f t="shared" si="0"/>
        <v>7675</v>
      </c>
      <c r="AG16" s="134">
        <f t="shared" si="0"/>
        <v>10182</v>
      </c>
      <c r="AH16" s="134">
        <f t="shared" si="0"/>
        <v>9748</v>
      </c>
      <c r="AI16" s="134">
        <f t="shared" si="0"/>
        <v>0</v>
      </c>
      <c r="AJ16" s="134">
        <f t="shared" si="0"/>
        <v>3025</v>
      </c>
      <c r="AK16" s="134">
        <f t="shared" si="0"/>
        <v>0</v>
      </c>
      <c r="AL16" s="134">
        <f t="shared" si="0"/>
        <v>2331</v>
      </c>
      <c r="AM16" s="134">
        <f t="shared" si="0"/>
        <v>28042</v>
      </c>
      <c r="AN16" s="134">
        <f t="shared" si="0"/>
        <v>57180</v>
      </c>
      <c r="AO16" s="134">
        <f t="shared" si="0"/>
        <v>9379</v>
      </c>
      <c r="AP16" s="134">
        <f t="shared" si="0"/>
        <v>17897</v>
      </c>
      <c r="AQ16" s="134">
        <f t="shared" si="0"/>
        <v>9215</v>
      </c>
      <c r="AR16" s="134">
        <f t="shared" si="0"/>
        <v>7361</v>
      </c>
      <c r="AS16" s="134">
        <f t="shared" si="0"/>
        <v>6251</v>
      </c>
      <c r="AT16" s="134">
        <f t="shared" si="0"/>
        <v>7355</v>
      </c>
      <c r="AU16" s="134">
        <f t="shared" si="0"/>
        <v>0</v>
      </c>
      <c r="AV16" s="134">
        <f t="shared" si="0"/>
        <v>376</v>
      </c>
      <c r="AW16" s="134">
        <f t="shared" si="0"/>
        <v>1493</v>
      </c>
      <c r="AX16" s="134">
        <f t="shared" si="0"/>
        <v>0</v>
      </c>
      <c r="AY16" s="134">
        <f t="shared" si="0"/>
        <v>1594</v>
      </c>
      <c r="AZ16" s="134">
        <f t="shared" si="0"/>
        <v>142</v>
      </c>
      <c r="BA16" s="134">
        <f t="shared" si="0"/>
        <v>14551</v>
      </c>
      <c r="BB16" s="134">
        <f t="shared" si="0"/>
        <v>584</v>
      </c>
      <c r="BC16" s="134">
        <f t="shared" si="0"/>
        <v>0</v>
      </c>
      <c r="BD16" s="134">
        <f t="shared" si="0"/>
        <v>514136</v>
      </c>
      <c r="BE16" s="134">
        <f t="shared" si="0"/>
        <v>427767</v>
      </c>
      <c r="BF16" s="134">
        <f t="shared" si="0"/>
        <v>792284.82</v>
      </c>
      <c r="BG16" s="134">
        <f t="shared" si="0"/>
        <v>10915</v>
      </c>
      <c r="BH16" s="134">
        <f t="shared" si="0"/>
        <v>13572</v>
      </c>
      <c r="BI16" s="134">
        <f t="shared" si="0"/>
        <v>1312</v>
      </c>
      <c r="BJ16" s="134">
        <f t="shared" si="0"/>
        <v>3528</v>
      </c>
      <c r="BK16" s="134">
        <f t="shared" si="0"/>
        <v>0</v>
      </c>
      <c r="BL16" s="134">
        <f t="shared" si="0"/>
        <v>236</v>
      </c>
      <c r="BM16" s="134">
        <f t="shared" si="0"/>
        <v>9473</v>
      </c>
      <c r="BN16" s="138"/>
      <c r="BO16" s="138"/>
      <c r="BP16" s="138"/>
      <c r="BQ16" s="138"/>
      <c r="BR16" s="138"/>
    </row>
    <row r="20" spans="1:70" x14ac:dyDescent="0.2">
      <c r="A20" s="26">
        <v>2024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  <c r="BJ20" s="31" t="s">
        <v>53</v>
      </c>
      <c r="BK20" s="31" t="s">
        <v>53</v>
      </c>
      <c r="BL20" s="31" t="s">
        <v>53</v>
      </c>
      <c r="BM20" s="31"/>
      <c r="BN20" s="31"/>
      <c r="BO20" s="31"/>
      <c r="BP20" s="31"/>
      <c r="BQ20" s="31"/>
      <c r="BR20" s="31"/>
    </row>
    <row r="21" spans="1:70" x14ac:dyDescent="0.2">
      <c r="A21" s="106" t="s">
        <v>59</v>
      </c>
      <c r="E21">
        <v>87.4</v>
      </c>
      <c r="F21">
        <v>228.67</v>
      </c>
      <c r="H21">
        <v>595.84</v>
      </c>
      <c r="I21">
        <v>1136.5999999999999</v>
      </c>
      <c r="K21">
        <v>270.02999999999997</v>
      </c>
      <c r="L21">
        <v>16.059999999999999</v>
      </c>
      <c r="M21">
        <v>125.46</v>
      </c>
      <c r="N21">
        <v>7.26</v>
      </c>
      <c r="O21">
        <v>324.36</v>
      </c>
      <c r="P21">
        <v>203.99</v>
      </c>
      <c r="Q21">
        <v>1205.03</v>
      </c>
      <c r="R21">
        <v>162.25</v>
      </c>
      <c r="S21">
        <v>1054.8800000000001</v>
      </c>
      <c r="U21">
        <v>17.93</v>
      </c>
      <c r="V21">
        <v>299.37</v>
      </c>
      <c r="W21">
        <v>12.75</v>
      </c>
      <c r="X21">
        <v>6.87</v>
      </c>
      <c r="Y21">
        <v>1765.73</v>
      </c>
      <c r="Z21">
        <v>423.76</v>
      </c>
      <c r="AA21">
        <v>7496.56</v>
      </c>
      <c r="AB21">
        <v>1851.14</v>
      </c>
      <c r="AC21">
        <v>6.67</v>
      </c>
      <c r="AD21">
        <v>9.4700000000000006</v>
      </c>
      <c r="AE21">
        <v>6.87</v>
      </c>
      <c r="AF21">
        <v>7.31</v>
      </c>
      <c r="AG21">
        <v>166.82</v>
      </c>
      <c r="AH21">
        <v>12.57</v>
      </c>
      <c r="AJ21">
        <v>-6.59</v>
      </c>
      <c r="AL21">
        <v>0</v>
      </c>
      <c r="AM21">
        <v>462.63</v>
      </c>
      <c r="AN21">
        <v>329.59</v>
      </c>
      <c r="AO21">
        <v>6.59</v>
      </c>
      <c r="AP21">
        <v>543.04</v>
      </c>
      <c r="AQ21">
        <v>200.36</v>
      </c>
      <c r="AR21">
        <v>-10.76</v>
      </c>
      <c r="AS21">
        <v>697.26</v>
      </c>
      <c r="AT21">
        <v>-15.67</v>
      </c>
      <c r="AV21">
        <v>117.49</v>
      </c>
      <c r="AW21">
        <v>549.02</v>
      </c>
      <c r="AX21">
        <v>-93.83</v>
      </c>
      <c r="AY21">
        <v>599.79</v>
      </c>
      <c r="AZ21">
        <v>73.760000000000005</v>
      </c>
      <c r="BA21">
        <v>2.1800000000000002</v>
      </c>
      <c r="BB21">
        <v>214</v>
      </c>
      <c r="BC21">
        <v>5.89</v>
      </c>
      <c r="BD21">
        <v>6898.18</v>
      </c>
      <c r="BE21">
        <v>5998.05</v>
      </c>
      <c r="BF21">
        <v>8477.07</v>
      </c>
      <c r="BG21">
        <v>-12.32</v>
      </c>
      <c r="BH21">
        <v>3640.87</v>
      </c>
      <c r="BI21">
        <v>517.1</v>
      </c>
      <c r="BJ21">
        <v>1660.73</v>
      </c>
      <c r="BL21">
        <v>115.9</v>
      </c>
      <c r="BM21">
        <v>2295.9899999999998</v>
      </c>
    </row>
    <row r="22" spans="1:70" x14ac:dyDescent="0.2">
      <c r="A22" s="113" t="s">
        <v>42</v>
      </c>
      <c r="E22">
        <v>53.29</v>
      </c>
      <c r="F22">
        <v>70.900000000000006</v>
      </c>
      <c r="H22">
        <v>580.66999999999996</v>
      </c>
      <c r="I22">
        <v>1034.18</v>
      </c>
      <c r="K22">
        <v>171.8</v>
      </c>
      <c r="L22">
        <v>15.14</v>
      </c>
      <c r="M22">
        <v>45.44</v>
      </c>
      <c r="N22">
        <v>8.1300000000000008</v>
      </c>
      <c r="O22">
        <v>105.72</v>
      </c>
      <c r="P22">
        <v>319.95999999999998</v>
      </c>
      <c r="Q22">
        <v>738.69</v>
      </c>
      <c r="R22">
        <v>41.62</v>
      </c>
      <c r="S22">
        <v>373.17</v>
      </c>
      <c r="U22">
        <v>20.69</v>
      </c>
      <c r="V22">
        <v>445.1</v>
      </c>
      <c r="W22">
        <v>10.98</v>
      </c>
      <c r="X22">
        <v>6.87</v>
      </c>
      <c r="Y22">
        <v>1027.92</v>
      </c>
      <c r="Z22">
        <v>176.63</v>
      </c>
      <c r="AA22">
        <v>5776.52</v>
      </c>
      <c r="AB22">
        <v>956</v>
      </c>
      <c r="AC22">
        <v>6.67</v>
      </c>
      <c r="AD22">
        <v>-6.77</v>
      </c>
      <c r="AE22">
        <v>6.87</v>
      </c>
      <c r="AF22">
        <v>-6.49</v>
      </c>
      <c r="AG22">
        <v>-6.77</v>
      </c>
      <c r="AH22">
        <v>22.07</v>
      </c>
      <c r="AJ22">
        <v>-6.49</v>
      </c>
      <c r="AL22">
        <v>0</v>
      </c>
      <c r="AM22">
        <v>0</v>
      </c>
      <c r="AN22">
        <v>309.87</v>
      </c>
      <c r="AO22">
        <v>-6.49</v>
      </c>
      <c r="AP22">
        <v>86.42</v>
      </c>
      <c r="AQ22">
        <v>87.38</v>
      </c>
      <c r="AR22">
        <v>-17.25</v>
      </c>
      <c r="AS22">
        <v>73.61</v>
      </c>
      <c r="AT22">
        <v>-22.44</v>
      </c>
      <c r="AV22">
        <v>151.13999999999999</v>
      </c>
      <c r="AW22">
        <v>341.03</v>
      </c>
      <c r="AX22">
        <v>-100.32</v>
      </c>
      <c r="AY22">
        <v>269.08999999999997</v>
      </c>
      <c r="AZ22">
        <v>24.84</v>
      </c>
      <c r="BA22">
        <v>-1.86</v>
      </c>
      <c r="BB22">
        <v>104.22</v>
      </c>
      <c r="BC22">
        <v>7.08</v>
      </c>
      <c r="BD22">
        <v>6819.04</v>
      </c>
      <c r="BE22">
        <v>6092.24</v>
      </c>
      <c r="BF22">
        <v>8532.2900000000009</v>
      </c>
      <c r="BG22">
        <v>-19.75</v>
      </c>
      <c r="BH22">
        <v>2425.5700000000002</v>
      </c>
      <c r="BI22">
        <v>502.06</v>
      </c>
      <c r="BJ22">
        <v>304.29000000000002</v>
      </c>
      <c r="BL22">
        <v>71.819999999999993</v>
      </c>
      <c r="BM22">
        <v>3415.9</v>
      </c>
    </row>
    <row r="23" spans="1:70" x14ac:dyDescent="0.2">
      <c r="A23" s="113" t="s">
        <v>43</v>
      </c>
      <c r="E23">
        <v>33.869999999999997</v>
      </c>
      <c r="F23">
        <v>17.5</v>
      </c>
      <c r="H23">
        <v>296.17</v>
      </c>
      <c r="I23">
        <v>475.96</v>
      </c>
      <c r="K23">
        <v>25.56</v>
      </c>
      <c r="L23">
        <v>12.55</v>
      </c>
      <c r="M23">
        <v>18.239999999999998</v>
      </c>
      <c r="N23">
        <v>7.26</v>
      </c>
      <c r="O23">
        <v>48.58</v>
      </c>
      <c r="P23">
        <v>90.41</v>
      </c>
      <c r="Q23">
        <v>269.18</v>
      </c>
      <c r="R23">
        <v>7.26</v>
      </c>
      <c r="S23">
        <v>52.48</v>
      </c>
      <c r="U23">
        <v>17.96</v>
      </c>
      <c r="V23">
        <v>204.72</v>
      </c>
      <c r="W23">
        <v>10.119999999999999</v>
      </c>
      <c r="X23">
        <v>6.87</v>
      </c>
      <c r="Y23">
        <v>490.02</v>
      </c>
      <c r="Z23">
        <v>78.95</v>
      </c>
      <c r="AA23">
        <v>3633.78</v>
      </c>
      <c r="AB23">
        <v>546.12</v>
      </c>
      <c r="AC23">
        <v>0</v>
      </c>
      <c r="AD23">
        <v>-13.54</v>
      </c>
      <c r="AE23">
        <v>6.87</v>
      </c>
      <c r="AF23">
        <v>-12.98</v>
      </c>
      <c r="AG23">
        <v>-13.54</v>
      </c>
      <c r="AH23">
        <v>22.07</v>
      </c>
      <c r="AJ23">
        <v>-12.98</v>
      </c>
      <c r="AL23">
        <v>-482.13</v>
      </c>
      <c r="AM23">
        <v>157.09</v>
      </c>
      <c r="AN23">
        <v>142.91</v>
      </c>
      <c r="AO23">
        <v>-12.98</v>
      </c>
      <c r="AP23">
        <v>6.59</v>
      </c>
      <c r="AQ23">
        <v>10.59</v>
      </c>
      <c r="AR23">
        <v>-23.74</v>
      </c>
      <c r="AS23">
        <v>15.95</v>
      </c>
      <c r="AT23">
        <v>-29.21</v>
      </c>
      <c r="AV23">
        <v>49.31</v>
      </c>
      <c r="AW23">
        <v>184.71</v>
      </c>
      <c r="AX23">
        <v>-106.81</v>
      </c>
      <c r="AY23">
        <v>87.04</v>
      </c>
      <c r="AZ23">
        <v>23.5</v>
      </c>
      <c r="BA23">
        <v>-8.74</v>
      </c>
      <c r="BB23">
        <v>54.88</v>
      </c>
      <c r="BC23">
        <v>7.08</v>
      </c>
      <c r="BD23">
        <v>6959.6</v>
      </c>
      <c r="BE23">
        <v>6154.59</v>
      </c>
      <c r="BF23">
        <v>8604.83</v>
      </c>
      <c r="BG23">
        <v>-27.18</v>
      </c>
      <c r="BH23">
        <v>1452.85</v>
      </c>
      <c r="BI23">
        <v>144.11000000000001</v>
      </c>
      <c r="BJ23">
        <v>49.36</v>
      </c>
      <c r="BL23">
        <v>60.72</v>
      </c>
      <c r="BM23">
        <v>1300.8</v>
      </c>
    </row>
    <row r="24" spans="1:70" x14ac:dyDescent="0.2">
      <c r="A24" s="113" t="s">
        <v>44</v>
      </c>
      <c r="E24">
        <v>21.41</v>
      </c>
      <c r="F24">
        <v>6.59</v>
      </c>
      <c r="H24">
        <v>50.76</v>
      </c>
      <c r="I24">
        <v>379.85</v>
      </c>
      <c r="K24">
        <v>6.87</v>
      </c>
      <c r="L24">
        <v>11.75</v>
      </c>
      <c r="M24">
        <v>6.87</v>
      </c>
      <c r="N24">
        <v>7.26</v>
      </c>
      <c r="O24">
        <v>18.170000000000002</v>
      </c>
      <c r="P24">
        <v>49.66</v>
      </c>
      <c r="Q24">
        <v>93.13</v>
      </c>
      <c r="R24">
        <v>7.26</v>
      </c>
      <c r="S24">
        <v>8.0299999999999994</v>
      </c>
      <c r="U24">
        <v>14.57</v>
      </c>
      <c r="V24">
        <v>84.96</v>
      </c>
      <c r="W24">
        <v>9.7200000000000006</v>
      </c>
      <c r="X24">
        <v>6.87</v>
      </c>
      <c r="Y24">
        <v>150.72999999999999</v>
      </c>
      <c r="Z24">
        <v>10.39</v>
      </c>
      <c r="AA24">
        <v>1989.73</v>
      </c>
      <c r="AB24">
        <v>255.98</v>
      </c>
      <c r="AC24">
        <v>0</v>
      </c>
      <c r="AD24">
        <v>-20.309999999999999</v>
      </c>
      <c r="AE24">
        <v>6.87</v>
      </c>
      <c r="AF24">
        <v>-19.47</v>
      </c>
      <c r="AG24">
        <v>-20.309999999999999</v>
      </c>
      <c r="AH24">
        <v>12.25</v>
      </c>
      <c r="AJ24">
        <v>-19.47</v>
      </c>
      <c r="AL24">
        <v>-488.9</v>
      </c>
      <c r="AM24">
        <v>-6.77</v>
      </c>
      <c r="AN24">
        <v>68.08</v>
      </c>
      <c r="AO24">
        <v>-19.47</v>
      </c>
      <c r="AP24">
        <v>6.59</v>
      </c>
      <c r="AQ24">
        <v>-4.33</v>
      </c>
      <c r="AR24">
        <v>-30.23</v>
      </c>
      <c r="AS24">
        <v>-6.88</v>
      </c>
      <c r="AT24">
        <v>-35.979999999999997</v>
      </c>
      <c r="AV24">
        <v>27.95</v>
      </c>
      <c r="AW24">
        <v>72</v>
      </c>
      <c r="AX24">
        <v>-113.3</v>
      </c>
      <c r="AY24">
        <v>37.770000000000003</v>
      </c>
      <c r="AZ24">
        <v>17.14</v>
      </c>
      <c r="BA24">
        <v>-15.62</v>
      </c>
      <c r="BB24">
        <v>24.47</v>
      </c>
      <c r="BC24">
        <v>7.08</v>
      </c>
      <c r="BD24">
        <v>6998.66</v>
      </c>
      <c r="BE24">
        <v>6135.31</v>
      </c>
      <c r="BF24">
        <v>8641.76</v>
      </c>
      <c r="BG24">
        <v>-34.61</v>
      </c>
      <c r="BH24">
        <v>709.42</v>
      </c>
      <c r="BI24">
        <v>58.47</v>
      </c>
      <c r="BJ24">
        <v>21.78</v>
      </c>
      <c r="BL24">
        <v>37.590000000000003</v>
      </c>
      <c r="BM24">
        <v>380.04</v>
      </c>
    </row>
    <row r="25" spans="1:70" x14ac:dyDescent="0.2">
      <c r="A25" s="113" t="s">
        <v>45</v>
      </c>
      <c r="E25">
        <v>15.19</v>
      </c>
      <c r="F25">
        <v>6.59</v>
      </c>
      <c r="H25">
        <v>23.94</v>
      </c>
      <c r="I25">
        <v>134.49</v>
      </c>
      <c r="K25">
        <v>6.87</v>
      </c>
      <c r="L25">
        <v>12.57</v>
      </c>
      <c r="M25">
        <v>6.87</v>
      </c>
      <c r="N25">
        <v>7.26</v>
      </c>
      <c r="O25">
        <v>7.26</v>
      </c>
      <c r="P25">
        <v>39.83</v>
      </c>
      <c r="Q25">
        <v>6.59</v>
      </c>
      <c r="R25">
        <v>7.26</v>
      </c>
      <c r="S25">
        <v>7.26</v>
      </c>
      <c r="U25">
        <v>15.85</v>
      </c>
      <c r="V25">
        <v>66.209999999999994</v>
      </c>
      <c r="W25">
        <v>8.93</v>
      </c>
      <c r="X25">
        <v>6.87</v>
      </c>
      <c r="Y25">
        <v>7.26</v>
      </c>
      <c r="Z25">
        <v>7.26</v>
      </c>
      <c r="AA25">
        <v>266.10000000000002</v>
      </c>
      <c r="AB25">
        <v>60.43</v>
      </c>
      <c r="AC25">
        <v>0</v>
      </c>
      <c r="AD25">
        <v>-27.08</v>
      </c>
      <c r="AE25">
        <v>6.87</v>
      </c>
      <c r="AF25">
        <v>-25.96</v>
      </c>
      <c r="AG25">
        <v>-27.08</v>
      </c>
      <c r="AH25">
        <v>6.52</v>
      </c>
      <c r="AJ25">
        <v>-25.96</v>
      </c>
      <c r="AL25">
        <v>-495.67</v>
      </c>
      <c r="AM25">
        <v>-9.0399999999999991</v>
      </c>
      <c r="AN25">
        <v>-6.77</v>
      </c>
      <c r="AO25">
        <v>-25.96</v>
      </c>
      <c r="AP25">
        <v>6.59</v>
      </c>
      <c r="AQ25">
        <v>-10.82</v>
      </c>
      <c r="AR25">
        <v>-36.72</v>
      </c>
      <c r="AS25">
        <v>-13.76</v>
      </c>
      <c r="AT25">
        <v>-42.75</v>
      </c>
      <c r="AV25">
        <v>17.170000000000002</v>
      </c>
      <c r="AW25">
        <v>30.43</v>
      </c>
      <c r="AX25">
        <v>-119.79</v>
      </c>
      <c r="AY25">
        <v>6.87</v>
      </c>
      <c r="AZ25">
        <v>18.46</v>
      </c>
      <c r="BA25">
        <v>-22.5</v>
      </c>
      <c r="BB25">
        <v>8.08</v>
      </c>
      <c r="BC25">
        <v>7.08</v>
      </c>
      <c r="BD25">
        <v>7043.51</v>
      </c>
      <c r="BE25">
        <v>6151.63</v>
      </c>
      <c r="BF25">
        <v>8629.27</v>
      </c>
      <c r="BG25">
        <v>-42.04</v>
      </c>
      <c r="BH25">
        <v>36.65</v>
      </c>
      <c r="BI25">
        <v>29.8</v>
      </c>
      <c r="BJ25">
        <v>12.34</v>
      </c>
      <c r="BL25">
        <v>21.6</v>
      </c>
      <c r="BM25">
        <v>133.55000000000001</v>
      </c>
    </row>
    <row r="26" spans="1:70" x14ac:dyDescent="0.2">
      <c r="A26" s="113" t="s">
        <v>46</v>
      </c>
      <c r="E26">
        <v>12.87</v>
      </c>
      <c r="F26">
        <v>6.59</v>
      </c>
      <c r="H26">
        <v>15.03</v>
      </c>
      <c r="I26">
        <v>6.87</v>
      </c>
      <c r="K26">
        <v>6.87</v>
      </c>
      <c r="L26">
        <v>10.95</v>
      </c>
      <c r="M26">
        <v>6.87</v>
      </c>
      <c r="N26">
        <v>7.26</v>
      </c>
      <c r="O26">
        <v>8.0299999999999994</v>
      </c>
      <c r="P26">
        <v>37.78</v>
      </c>
      <c r="Q26">
        <v>8.94</v>
      </c>
      <c r="R26">
        <v>7.26</v>
      </c>
      <c r="S26">
        <v>7.26</v>
      </c>
      <c r="U26">
        <v>17.2</v>
      </c>
      <c r="V26">
        <v>6.87</v>
      </c>
      <c r="W26">
        <v>8.93</v>
      </c>
      <c r="X26">
        <v>6.87</v>
      </c>
      <c r="Y26">
        <v>7.26</v>
      </c>
      <c r="Z26">
        <v>7.26</v>
      </c>
      <c r="AA26">
        <v>139.56</v>
      </c>
      <c r="AB26">
        <v>53.45</v>
      </c>
      <c r="AC26">
        <v>0</v>
      </c>
      <c r="AD26">
        <v>-33.85</v>
      </c>
      <c r="AE26">
        <v>6.87</v>
      </c>
      <c r="AF26">
        <v>-32.450000000000003</v>
      </c>
      <c r="AG26">
        <v>-33.85</v>
      </c>
      <c r="AH26">
        <v>8.68</v>
      </c>
      <c r="AJ26">
        <v>-32.450000000000003</v>
      </c>
      <c r="AL26">
        <v>-502.44</v>
      </c>
      <c r="AM26">
        <v>-13.55</v>
      </c>
      <c r="AN26">
        <v>-13.54</v>
      </c>
      <c r="AO26">
        <v>-32.450000000000003</v>
      </c>
      <c r="AP26">
        <v>6.59</v>
      </c>
      <c r="AQ26">
        <v>-17.309999999999999</v>
      </c>
      <c r="AR26">
        <v>-43.21</v>
      </c>
      <c r="AS26">
        <v>-20.64</v>
      </c>
      <c r="AT26">
        <v>-49.52</v>
      </c>
      <c r="AV26">
        <v>15.94</v>
      </c>
      <c r="AW26">
        <v>10.95</v>
      </c>
      <c r="AX26">
        <v>-126.28</v>
      </c>
      <c r="AY26">
        <v>6.87</v>
      </c>
      <c r="AZ26">
        <v>15.92</v>
      </c>
      <c r="BA26">
        <v>-29.38</v>
      </c>
      <c r="BB26">
        <v>7.31</v>
      </c>
      <c r="BC26">
        <v>7.08</v>
      </c>
      <c r="BD26">
        <v>7020.39</v>
      </c>
      <c r="BE26">
        <v>6177.48</v>
      </c>
      <c r="BF26">
        <v>8854.76</v>
      </c>
      <c r="BG26">
        <v>-49.47</v>
      </c>
      <c r="BH26">
        <v>7.45</v>
      </c>
      <c r="BI26">
        <v>7.53</v>
      </c>
      <c r="BJ26">
        <v>12.34</v>
      </c>
      <c r="BL26">
        <v>7.59</v>
      </c>
      <c r="BM26">
        <v>73.790000000000006</v>
      </c>
    </row>
    <row r="27" spans="1:70" x14ac:dyDescent="0.2">
      <c r="A27" s="113" t="s">
        <v>47</v>
      </c>
      <c r="E27">
        <v>12.88</v>
      </c>
      <c r="F27">
        <v>6.59</v>
      </c>
      <c r="H27">
        <v>15.04</v>
      </c>
      <c r="I27">
        <v>6.87</v>
      </c>
      <c r="K27">
        <v>6.87</v>
      </c>
      <c r="L27">
        <v>10.96</v>
      </c>
      <c r="M27">
        <v>7.67</v>
      </c>
      <c r="N27">
        <v>7.26</v>
      </c>
      <c r="O27">
        <v>7.26</v>
      </c>
      <c r="P27">
        <v>40.130000000000003</v>
      </c>
      <c r="Q27">
        <v>7.36</v>
      </c>
      <c r="R27">
        <v>7.26</v>
      </c>
      <c r="S27">
        <v>39.39</v>
      </c>
      <c r="U27">
        <v>12.07</v>
      </c>
      <c r="V27">
        <v>6.87</v>
      </c>
      <c r="W27">
        <v>8.15</v>
      </c>
      <c r="X27">
        <v>6.87</v>
      </c>
      <c r="Y27">
        <v>7.26</v>
      </c>
      <c r="Z27">
        <v>7.26</v>
      </c>
      <c r="AA27">
        <v>153.02000000000001</v>
      </c>
      <c r="AB27">
        <v>56.62</v>
      </c>
      <c r="AC27">
        <v>0</v>
      </c>
      <c r="AD27">
        <v>-40.619999999999997</v>
      </c>
      <c r="AE27">
        <v>6.87</v>
      </c>
      <c r="AF27">
        <v>-38.94</v>
      </c>
      <c r="AG27">
        <v>-40.619999999999997</v>
      </c>
      <c r="AH27">
        <v>3.66</v>
      </c>
      <c r="AJ27">
        <v>-38.94</v>
      </c>
      <c r="AL27">
        <v>-501.71</v>
      </c>
      <c r="AM27">
        <v>-10.56</v>
      </c>
      <c r="AN27">
        <v>-12.81</v>
      </c>
      <c r="AO27">
        <v>-24.54</v>
      </c>
      <c r="AP27">
        <v>15.2</v>
      </c>
      <c r="AQ27">
        <v>-23.09</v>
      </c>
      <c r="AR27">
        <v>-49.7</v>
      </c>
      <c r="AS27">
        <v>-27.52</v>
      </c>
      <c r="AT27">
        <v>-56.29</v>
      </c>
      <c r="AV27">
        <v>15.96</v>
      </c>
      <c r="AW27">
        <v>15.85</v>
      </c>
      <c r="AX27">
        <v>-132.77000000000001</v>
      </c>
      <c r="AY27">
        <v>6.87</v>
      </c>
      <c r="AZ27">
        <v>8.17</v>
      </c>
      <c r="BA27">
        <v>-36.26</v>
      </c>
      <c r="BB27">
        <v>7.31</v>
      </c>
      <c r="BC27">
        <v>7.08</v>
      </c>
      <c r="BD27">
        <v>7001.16</v>
      </c>
      <c r="BE27">
        <v>4376.25</v>
      </c>
      <c r="BF27">
        <v>8982.4500000000007</v>
      </c>
      <c r="BG27">
        <v>-56.9</v>
      </c>
      <c r="BH27">
        <v>7.45</v>
      </c>
      <c r="BI27">
        <v>8.2799999999999994</v>
      </c>
      <c r="BJ27">
        <v>12.35</v>
      </c>
      <c r="BL27">
        <v>7.59</v>
      </c>
      <c r="BM27">
        <v>62.35</v>
      </c>
    </row>
    <row r="28" spans="1:70" x14ac:dyDescent="0.2">
      <c r="A28" s="113" t="s">
        <v>48</v>
      </c>
      <c r="E28">
        <v>8.94</v>
      </c>
      <c r="F28">
        <v>6.59</v>
      </c>
      <c r="H28">
        <v>14.22</v>
      </c>
      <c r="I28">
        <v>6.87</v>
      </c>
      <c r="K28">
        <v>6.87</v>
      </c>
      <c r="L28">
        <v>10.96</v>
      </c>
      <c r="M28">
        <v>6.87</v>
      </c>
      <c r="N28">
        <v>8.0299999999999994</v>
      </c>
      <c r="O28">
        <v>7.26</v>
      </c>
      <c r="P28">
        <v>40.21</v>
      </c>
      <c r="Q28">
        <v>7.36</v>
      </c>
      <c r="R28">
        <v>7.26</v>
      </c>
      <c r="S28">
        <v>221.61</v>
      </c>
      <c r="U28">
        <v>13.35</v>
      </c>
      <c r="V28">
        <v>6.87</v>
      </c>
      <c r="W28">
        <v>8.15</v>
      </c>
      <c r="X28">
        <v>6.87</v>
      </c>
      <c r="Y28">
        <v>7.26</v>
      </c>
      <c r="Z28">
        <v>7.26</v>
      </c>
      <c r="AA28">
        <v>135.22999999999999</v>
      </c>
      <c r="AB28">
        <v>51.23</v>
      </c>
      <c r="AC28">
        <v>0</v>
      </c>
      <c r="AD28">
        <v>-47.39</v>
      </c>
      <c r="AE28">
        <v>6.87</v>
      </c>
      <c r="AF28">
        <v>4072.54</v>
      </c>
      <c r="AG28">
        <v>-47.39</v>
      </c>
      <c r="AH28">
        <v>3747.29</v>
      </c>
      <c r="AJ28">
        <v>-45.43</v>
      </c>
      <c r="AL28">
        <v>3321.86</v>
      </c>
      <c r="AM28">
        <v>8299.24</v>
      </c>
      <c r="AN28">
        <v>528.14</v>
      </c>
      <c r="AO28">
        <v>4003.76</v>
      </c>
      <c r="AP28">
        <v>-2.48</v>
      </c>
      <c r="AQ28">
        <v>-29.58</v>
      </c>
      <c r="AR28">
        <v>3677.62</v>
      </c>
      <c r="AS28">
        <v>3225.37</v>
      </c>
      <c r="AT28">
        <v>-63.06</v>
      </c>
      <c r="AV28">
        <v>16</v>
      </c>
      <c r="AW28">
        <v>6.87</v>
      </c>
      <c r="AX28">
        <v>-139.26</v>
      </c>
      <c r="AY28">
        <v>6.87</v>
      </c>
      <c r="AZ28">
        <v>6.91</v>
      </c>
      <c r="BA28">
        <v>5083.0600000000004</v>
      </c>
      <c r="BB28">
        <v>7.31</v>
      </c>
      <c r="BC28">
        <v>7.08</v>
      </c>
      <c r="BD28">
        <v>7080.7</v>
      </c>
      <c r="BE28">
        <v>6338.22</v>
      </c>
      <c r="BF28">
        <v>8916.2099999999991</v>
      </c>
      <c r="BG28">
        <v>-64.33</v>
      </c>
      <c r="BH28">
        <v>7.45</v>
      </c>
      <c r="BI28">
        <v>9.11</v>
      </c>
      <c r="BJ28">
        <v>12.35</v>
      </c>
      <c r="BL28">
        <v>7.59</v>
      </c>
      <c r="BM28">
        <v>62.51</v>
      </c>
    </row>
    <row r="29" spans="1:70" x14ac:dyDescent="0.2">
      <c r="A29" s="113" t="s">
        <v>49</v>
      </c>
      <c r="E29">
        <v>13.66</v>
      </c>
      <c r="F29">
        <v>6.59</v>
      </c>
      <c r="H29">
        <v>15.06</v>
      </c>
      <c r="I29">
        <v>28.15</v>
      </c>
      <c r="K29">
        <v>6.87</v>
      </c>
      <c r="L29">
        <v>11.78</v>
      </c>
      <c r="M29">
        <v>6.87</v>
      </c>
      <c r="N29">
        <v>7.26</v>
      </c>
      <c r="O29">
        <v>7.26</v>
      </c>
      <c r="P29">
        <v>40.35</v>
      </c>
      <c r="Q29">
        <v>8.9499999999999993</v>
      </c>
      <c r="R29">
        <v>7.26</v>
      </c>
      <c r="S29">
        <v>609.22</v>
      </c>
      <c r="U29">
        <v>13.39</v>
      </c>
      <c r="V29">
        <v>6.87</v>
      </c>
      <c r="W29">
        <v>8.94</v>
      </c>
      <c r="X29">
        <v>6.87</v>
      </c>
      <c r="Y29">
        <v>7.26</v>
      </c>
      <c r="Z29">
        <v>7.26</v>
      </c>
      <c r="AA29">
        <v>228.86</v>
      </c>
      <c r="AB29">
        <v>49.7</v>
      </c>
      <c r="AC29">
        <v>0</v>
      </c>
      <c r="AD29">
        <v>-54.16</v>
      </c>
      <c r="AE29">
        <v>6.87</v>
      </c>
      <c r="AF29">
        <v>4799.34</v>
      </c>
      <c r="AG29">
        <v>4070.6</v>
      </c>
      <c r="AH29">
        <v>6163.14</v>
      </c>
      <c r="AJ29">
        <v>2094.23</v>
      </c>
      <c r="AL29">
        <v>1661.3</v>
      </c>
      <c r="AM29">
        <v>10811.11</v>
      </c>
      <c r="AN29">
        <v>13045.94</v>
      </c>
      <c r="AO29">
        <v>5826.25</v>
      </c>
      <c r="AP29">
        <v>4702.38</v>
      </c>
      <c r="AQ29">
        <v>3022.52</v>
      </c>
      <c r="AR29">
        <v>4394.29</v>
      </c>
      <c r="AS29">
        <v>4633.32</v>
      </c>
      <c r="AT29">
        <v>3025.67</v>
      </c>
      <c r="AV29">
        <v>16.010000000000002</v>
      </c>
      <c r="AW29">
        <v>13.44</v>
      </c>
      <c r="AX29">
        <v>-145.75</v>
      </c>
      <c r="AY29">
        <v>6.87</v>
      </c>
      <c r="AZ29">
        <v>6.91</v>
      </c>
      <c r="BA29">
        <v>9218.7000000000007</v>
      </c>
      <c r="BB29">
        <v>7.31</v>
      </c>
      <c r="BC29">
        <v>7.08</v>
      </c>
      <c r="BD29">
        <v>7535.51</v>
      </c>
      <c r="BE29">
        <v>6417.54</v>
      </c>
      <c r="BF29">
        <v>9133.89</v>
      </c>
      <c r="BG29">
        <v>4455.03</v>
      </c>
      <c r="BH29">
        <v>9.2200000000000006</v>
      </c>
      <c r="BI29">
        <v>8.41</v>
      </c>
      <c r="BJ29">
        <v>11.5</v>
      </c>
      <c r="BL29">
        <v>14.69</v>
      </c>
      <c r="BM29">
        <v>72.36</v>
      </c>
    </row>
    <row r="30" spans="1:70" x14ac:dyDescent="0.2">
      <c r="A30" s="113" t="s">
        <v>50</v>
      </c>
      <c r="E30">
        <v>13.66</v>
      </c>
      <c r="F30">
        <v>6.59</v>
      </c>
      <c r="H30">
        <v>22.45</v>
      </c>
      <c r="I30">
        <v>82.23</v>
      </c>
      <c r="K30">
        <v>22.45</v>
      </c>
      <c r="L30">
        <v>11.78</v>
      </c>
      <c r="M30">
        <v>6.87</v>
      </c>
      <c r="N30">
        <v>7.26</v>
      </c>
      <c r="O30">
        <v>10.41</v>
      </c>
      <c r="P30">
        <v>38.119999999999997</v>
      </c>
      <c r="Q30">
        <v>31.75</v>
      </c>
      <c r="R30">
        <v>7.26</v>
      </c>
      <c r="S30">
        <v>484.59</v>
      </c>
      <c r="U30">
        <v>12.11</v>
      </c>
      <c r="V30">
        <v>6.87</v>
      </c>
      <c r="W30">
        <v>8.9499999999999993</v>
      </c>
      <c r="X30">
        <v>6.87</v>
      </c>
      <c r="Y30">
        <v>46.57</v>
      </c>
      <c r="Z30">
        <v>7.26</v>
      </c>
      <c r="AA30">
        <v>1622.7</v>
      </c>
      <c r="AB30">
        <v>82.17</v>
      </c>
      <c r="AC30">
        <v>0</v>
      </c>
      <c r="AD30">
        <v>-60.93</v>
      </c>
      <c r="AE30">
        <v>6.87</v>
      </c>
      <c r="AF30">
        <v>2075.06</v>
      </c>
      <c r="AG30">
        <v>6163.8</v>
      </c>
      <c r="AH30">
        <v>2874.7</v>
      </c>
      <c r="AJ30">
        <v>2734.63</v>
      </c>
      <c r="AL30">
        <v>931.68</v>
      </c>
      <c r="AM30">
        <v>4641.29</v>
      </c>
      <c r="AN30">
        <v>17809.38</v>
      </c>
      <c r="AO30">
        <v>2410.58</v>
      </c>
      <c r="AP30">
        <v>8400.61</v>
      </c>
      <c r="AQ30">
        <v>5778.99</v>
      </c>
      <c r="AR30">
        <v>2355</v>
      </c>
      <c r="AS30">
        <v>998.93</v>
      </c>
      <c r="AT30">
        <v>5510.06</v>
      </c>
      <c r="AV30">
        <v>22.25</v>
      </c>
      <c r="AW30">
        <v>7.68</v>
      </c>
      <c r="AX30">
        <v>-152.24</v>
      </c>
      <c r="AY30">
        <v>13.44</v>
      </c>
      <c r="AZ30">
        <v>15.22</v>
      </c>
      <c r="BA30">
        <v>2077.84</v>
      </c>
      <c r="BB30">
        <v>12.81</v>
      </c>
      <c r="BC30">
        <v>7.08</v>
      </c>
      <c r="BD30">
        <v>7332.62</v>
      </c>
      <c r="BE30">
        <v>7996.21</v>
      </c>
      <c r="BF30">
        <v>9385.7000000000007</v>
      </c>
      <c r="BG30">
        <v>6438.27</v>
      </c>
      <c r="BH30">
        <v>127.6</v>
      </c>
      <c r="BI30">
        <v>7.53</v>
      </c>
      <c r="BJ30">
        <v>31.46</v>
      </c>
      <c r="BL30">
        <v>13.29</v>
      </c>
      <c r="BM30">
        <v>85.41</v>
      </c>
    </row>
    <row r="31" spans="1:70" x14ac:dyDescent="0.2">
      <c r="A31" s="113" t="s">
        <v>51</v>
      </c>
      <c r="E31">
        <v>37.520000000000003</v>
      </c>
      <c r="F31">
        <v>13.58</v>
      </c>
      <c r="H31">
        <v>158.29</v>
      </c>
      <c r="I31">
        <v>396.22</v>
      </c>
      <c r="K31">
        <v>72.91</v>
      </c>
      <c r="L31">
        <v>17.38</v>
      </c>
      <c r="M31">
        <v>14.16</v>
      </c>
      <c r="N31">
        <v>11.16</v>
      </c>
      <c r="O31">
        <v>55.94</v>
      </c>
      <c r="P31">
        <v>59.78</v>
      </c>
      <c r="Q31">
        <v>72.349999999999994</v>
      </c>
      <c r="R31">
        <v>13.47</v>
      </c>
      <c r="S31">
        <v>275.66000000000003</v>
      </c>
      <c r="U31">
        <v>15.22</v>
      </c>
      <c r="V31">
        <v>17.440000000000001</v>
      </c>
      <c r="W31">
        <v>9.1199999999999992</v>
      </c>
      <c r="X31">
        <v>6.87</v>
      </c>
      <c r="Y31">
        <v>510.26</v>
      </c>
      <c r="Z31">
        <v>52.06</v>
      </c>
      <c r="AA31">
        <v>3264.24</v>
      </c>
      <c r="AB31">
        <v>468.43</v>
      </c>
      <c r="AC31">
        <v>0</v>
      </c>
      <c r="AD31">
        <v>-67.7</v>
      </c>
      <c r="AE31">
        <v>10.94</v>
      </c>
      <c r="AF31">
        <v>333.73</v>
      </c>
      <c r="AG31">
        <v>3416.71</v>
      </c>
      <c r="AH31">
        <v>338.35</v>
      </c>
      <c r="AJ31">
        <v>1928.27</v>
      </c>
      <c r="AL31">
        <v>347.16</v>
      </c>
      <c r="AM31">
        <v>1771.14</v>
      </c>
      <c r="AN31">
        <v>3760.33</v>
      </c>
      <c r="AO31">
        <v>1071.29</v>
      </c>
      <c r="AP31">
        <v>4739.3599999999997</v>
      </c>
      <c r="AQ31">
        <v>2922.62</v>
      </c>
      <c r="AR31">
        <v>2245.08</v>
      </c>
      <c r="AS31">
        <v>358.57</v>
      </c>
      <c r="AT31">
        <v>2819.14</v>
      </c>
      <c r="AV31">
        <v>57.49</v>
      </c>
      <c r="AW31">
        <v>9.51</v>
      </c>
      <c r="AX31">
        <v>-158.72999999999999</v>
      </c>
      <c r="AY31">
        <v>106.23</v>
      </c>
      <c r="AZ31">
        <v>44.31</v>
      </c>
      <c r="BA31">
        <v>352.99</v>
      </c>
      <c r="BB31">
        <v>40.24</v>
      </c>
      <c r="BC31">
        <v>7.08</v>
      </c>
      <c r="BD31">
        <v>7195.79</v>
      </c>
      <c r="BE31">
        <v>6446.98</v>
      </c>
      <c r="BF31">
        <v>9323.7900000000009</v>
      </c>
      <c r="BG31">
        <v>3472.22</v>
      </c>
      <c r="BH31">
        <v>1364.87</v>
      </c>
      <c r="BI31">
        <v>16.22</v>
      </c>
      <c r="BJ31">
        <v>343.57</v>
      </c>
      <c r="BL31">
        <v>22.8</v>
      </c>
      <c r="BM31">
        <v>370.91</v>
      </c>
    </row>
    <row r="32" spans="1:70" x14ac:dyDescent="0.2">
      <c r="A32" s="113" t="s">
        <v>52</v>
      </c>
      <c r="E32">
        <v>66.849999999999994</v>
      </c>
      <c r="F32">
        <v>192.04</v>
      </c>
      <c r="H32">
        <v>401.06</v>
      </c>
      <c r="I32">
        <v>830.19</v>
      </c>
      <c r="K32">
        <v>147.57</v>
      </c>
      <c r="L32">
        <v>26.05</v>
      </c>
      <c r="M32">
        <v>68.22</v>
      </c>
      <c r="N32">
        <v>20.309999999999999</v>
      </c>
      <c r="O32">
        <v>106.59</v>
      </c>
      <c r="P32">
        <v>149.76</v>
      </c>
      <c r="Q32">
        <v>314.20999999999998</v>
      </c>
      <c r="R32">
        <v>56.18</v>
      </c>
      <c r="S32">
        <v>624.58000000000004</v>
      </c>
      <c r="U32">
        <v>18.100000000000001</v>
      </c>
      <c r="V32">
        <v>128.88999999999999</v>
      </c>
      <c r="W32">
        <v>15.12</v>
      </c>
      <c r="X32">
        <v>10.94</v>
      </c>
      <c r="Y32">
        <v>1334.49</v>
      </c>
      <c r="Z32">
        <v>302.32</v>
      </c>
      <c r="AA32">
        <v>5566.65</v>
      </c>
      <c r="AB32">
        <v>1067.1099999999999</v>
      </c>
      <c r="AC32">
        <v>0</v>
      </c>
      <c r="AD32">
        <v>-74.47</v>
      </c>
      <c r="AE32">
        <v>10.94</v>
      </c>
      <c r="AF32">
        <v>-6.49</v>
      </c>
      <c r="AG32">
        <v>0</v>
      </c>
      <c r="AH32">
        <v>1.61</v>
      </c>
      <c r="AJ32">
        <v>-6.49</v>
      </c>
      <c r="AL32">
        <v>-6.77</v>
      </c>
      <c r="AM32">
        <v>3033.55</v>
      </c>
      <c r="AN32">
        <v>252.06</v>
      </c>
      <c r="AO32">
        <v>-6.49</v>
      </c>
      <c r="AP32">
        <v>778.36</v>
      </c>
      <c r="AQ32">
        <v>466.02</v>
      </c>
      <c r="AR32">
        <v>-6.49</v>
      </c>
      <c r="AS32">
        <v>264.77999999999997</v>
      </c>
      <c r="AT32">
        <v>-6.77</v>
      </c>
      <c r="AV32">
        <v>97.63</v>
      </c>
      <c r="AW32">
        <v>204.81</v>
      </c>
      <c r="AX32">
        <v>-165.22</v>
      </c>
      <c r="AY32">
        <v>357.37</v>
      </c>
      <c r="AZ32">
        <v>49</v>
      </c>
      <c r="BA32">
        <v>638.30999999999995</v>
      </c>
      <c r="BB32">
        <v>100.95</v>
      </c>
      <c r="BC32">
        <v>7.08</v>
      </c>
      <c r="BD32">
        <v>8552.6</v>
      </c>
      <c r="BE32">
        <v>7600.46</v>
      </c>
      <c r="BF32">
        <v>10503.59</v>
      </c>
      <c r="BG32">
        <v>-7.43</v>
      </c>
      <c r="BH32">
        <v>2986.22</v>
      </c>
      <c r="BI32">
        <v>118.06</v>
      </c>
      <c r="BJ32">
        <v>913.4</v>
      </c>
      <c r="BL32">
        <v>71.59</v>
      </c>
      <c r="BM32">
        <v>1067.0899999999999</v>
      </c>
    </row>
    <row r="33" spans="1:70" ht="13.5" thickBot="1" x14ac:dyDescent="0.25">
      <c r="A33" s="106" t="s">
        <v>58</v>
      </c>
      <c r="B33" s="116">
        <f>SUM(B21:B32)</f>
        <v>0</v>
      </c>
      <c r="C33" s="116">
        <f>SUM(C21:C32)</f>
        <v>0</v>
      </c>
      <c r="D33" s="116"/>
      <c r="E33" s="116">
        <f t="shared" ref="E33:BM33" si="1">SUM(E21:E32)</f>
        <v>377.53999999999996</v>
      </c>
      <c r="F33" s="116">
        <f t="shared" si="1"/>
        <v>568.81999999999982</v>
      </c>
      <c r="G33" s="117">
        <f t="shared" si="1"/>
        <v>0</v>
      </c>
      <c r="H33" s="116">
        <f t="shared" si="1"/>
        <v>2188.5300000000002</v>
      </c>
      <c r="I33" s="117">
        <f t="shared" si="1"/>
        <v>4518.4799999999996</v>
      </c>
      <c r="J33" s="118">
        <f t="shared" si="1"/>
        <v>0</v>
      </c>
      <c r="K33" s="117">
        <f t="shared" si="1"/>
        <v>751.54</v>
      </c>
      <c r="L33" s="117">
        <f t="shared" si="1"/>
        <v>167.93</v>
      </c>
      <c r="M33" s="117">
        <f t="shared" si="1"/>
        <v>320.40999999999997</v>
      </c>
      <c r="N33" s="117">
        <f t="shared" si="1"/>
        <v>105.71</v>
      </c>
      <c r="O33" s="119">
        <f t="shared" si="1"/>
        <v>706.84</v>
      </c>
      <c r="P33" s="117">
        <f t="shared" si="1"/>
        <v>1109.98</v>
      </c>
      <c r="Q33" s="119">
        <f t="shared" si="1"/>
        <v>2763.5400000000004</v>
      </c>
      <c r="R33" s="119">
        <f t="shared" si="1"/>
        <v>331.59999999999997</v>
      </c>
      <c r="S33" s="119">
        <f t="shared" si="1"/>
        <v>3758.13</v>
      </c>
      <c r="T33" s="117">
        <f t="shared" si="1"/>
        <v>0</v>
      </c>
      <c r="U33" s="119">
        <f t="shared" si="1"/>
        <v>188.44</v>
      </c>
      <c r="V33" s="119">
        <f t="shared" si="1"/>
        <v>1281.0399999999995</v>
      </c>
      <c r="W33" s="117">
        <f t="shared" si="1"/>
        <v>119.86000000000001</v>
      </c>
      <c r="X33" s="119">
        <f t="shared" si="1"/>
        <v>86.509999999999991</v>
      </c>
      <c r="Y33" s="119">
        <f t="shared" si="1"/>
        <v>5362.0200000000013</v>
      </c>
      <c r="Z33" s="119">
        <f t="shared" si="1"/>
        <v>1087.6699999999998</v>
      </c>
      <c r="AA33" s="119">
        <f t="shared" si="1"/>
        <v>30272.950000000004</v>
      </c>
      <c r="AB33" s="119">
        <f t="shared" si="1"/>
        <v>5498.3799999999992</v>
      </c>
      <c r="AC33" s="119">
        <f>SUM(AC21:AC32)</f>
        <v>13.34</v>
      </c>
      <c r="AD33" s="119">
        <f>SUM(AD21:AD32)</f>
        <v>-437.34999999999991</v>
      </c>
      <c r="AE33" s="119"/>
      <c r="AF33" s="119">
        <f>SUM(AF21:AF32)</f>
        <v>11145.199999999999</v>
      </c>
      <c r="AG33" s="119">
        <f>SUM(AG21:AG32)</f>
        <v>13628.369999999999</v>
      </c>
      <c r="AH33" s="119">
        <f>SUM(AH21:AH32)</f>
        <v>13212.910000000002</v>
      </c>
      <c r="AI33" s="119">
        <f>SUM(AI21:AI32)</f>
        <v>0</v>
      </c>
      <c r="AJ33" s="119">
        <f>SUM(AJ21:AJ32)</f>
        <v>6562.33</v>
      </c>
      <c r="AK33" s="119">
        <f t="shared" si="1"/>
        <v>0</v>
      </c>
      <c r="AL33" s="119">
        <f t="shared" si="1"/>
        <v>3784.38</v>
      </c>
      <c r="AM33" s="117">
        <f t="shared" si="1"/>
        <v>29136.13</v>
      </c>
      <c r="AN33" s="117">
        <f t="shared" si="1"/>
        <v>36213.18</v>
      </c>
      <c r="AO33" s="119">
        <f t="shared" si="1"/>
        <v>13190.089999999998</v>
      </c>
      <c r="AP33" s="119">
        <f t="shared" si="1"/>
        <v>19289.25</v>
      </c>
      <c r="AQ33" s="119">
        <f t="shared" si="1"/>
        <v>12403.349999999999</v>
      </c>
      <c r="AR33" s="119">
        <f t="shared" si="1"/>
        <v>12453.89</v>
      </c>
      <c r="AS33" s="119">
        <f t="shared" si="1"/>
        <v>10198.99</v>
      </c>
      <c r="AT33" s="119">
        <f t="shared" si="1"/>
        <v>11033.18</v>
      </c>
      <c r="AU33" s="119">
        <f t="shared" si="1"/>
        <v>0</v>
      </c>
      <c r="AV33" s="119">
        <f t="shared" si="1"/>
        <v>604.33999999999992</v>
      </c>
      <c r="AW33" s="119">
        <f t="shared" si="1"/>
        <v>1446.3</v>
      </c>
      <c r="AX33" s="119">
        <f>SUM(AX21:AX32)</f>
        <v>-1554.3</v>
      </c>
      <c r="AY33" s="119">
        <f t="shared" si="1"/>
        <v>1505.08</v>
      </c>
      <c r="AZ33" s="119">
        <f t="shared" si="1"/>
        <v>304.14</v>
      </c>
      <c r="BA33" s="119">
        <f t="shared" si="1"/>
        <v>17258.720000000005</v>
      </c>
      <c r="BB33" s="119">
        <f t="shared" si="1"/>
        <v>588.8900000000001</v>
      </c>
      <c r="BC33" s="119">
        <f t="shared" si="1"/>
        <v>83.769999999999982</v>
      </c>
      <c r="BD33" s="119">
        <f t="shared" si="1"/>
        <v>86437.759999999995</v>
      </c>
      <c r="BE33" s="119">
        <f t="shared" si="1"/>
        <v>75884.960000000006</v>
      </c>
      <c r="BF33" s="119">
        <f t="shared" si="1"/>
        <v>107985.61000000002</v>
      </c>
      <c r="BG33" s="119">
        <f t="shared" si="1"/>
        <v>14051.49</v>
      </c>
      <c r="BH33" s="119">
        <f t="shared" si="1"/>
        <v>12775.62</v>
      </c>
      <c r="BI33" s="119">
        <f t="shared" si="1"/>
        <v>1426.6799999999998</v>
      </c>
      <c r="BJ33" s="119">
        <f t="shared" si="1"/>
        <v>3385.4700000000003</v>
      </c>
      <c r="BK33" s="119">
        <f t="shared" si="1"/>
        <v>0</v>
      </c>
      <c r="BL33" s="119">
        <f t="shared" si="1"/>
        <v>452.77</v>
      </c>
      <c r="BM33" s="119">
        <f t="shared" si="1"/>
        <v>9320.7000000000007</v>
      </c>
      <c r="BN33" s="119"/>
      <c r="BO33" s="119"/>
      <c r="BP33" s="119"/>
      <c r="BQ33" s="119"/>
      <c r="BR33" s="119"/>
    </row>
    <row r="34" spans="1:70" ht="13.5" thickTop="1" x14ac:dyDescent="0.2">
      <c r="A34" s="120"/>
      <c r="B34" s="120" t="str">
        <f t="shared" ref="B34:AY34" si="2">IF(B16=0,"",(B33/B16))</f>
        <v/>
      </c>
      <c r="C34" s="120" t="str">
        <f t="shared" si="2"/>
        <v/>
      </c>
      <c r="D34" s="120" t="str">
        <f t="shared" si="2"/>
        <v/>
      </c>
      <c r="E34" s="120">
        <f t="shared" si="2"/>
        <v>1.0664971751412429</v>
      </c>
      <c r="F34" s="120">
        <f t="shared" si="2"/>
        <v>0.98753472222222194</v>
      </c>
      <c r="G34" s="120" t="str">
        <f t="shared" si="2"/>
        <v/>
      </c>
      <c r="H34" s="120">
        <f t="shared" si="2"/>
        <v>0.95652534965034974</v>
      </c>
      <c r="I34" s="120">
        <f t="shared" si="2"/>
        <v>0.93357024793388421</v>
      </c>
      <c r="J34" s="120" t="str">
        <f t="shared" si="2"/>
        <v/>
      </c>
      <c r="K34" s="120">
        <f t="shared" si="2"/>
        <v>1.0183468834688347</v>
      </c>
      <c r="L34" s="120">
        <f t="shared" si="2"/>
        <v>2.0479268292682926</v>
      </c>
      <c r="M34" s="120">
        <f t="shared" si="2"/>
        <v>1.2714682539682538</v>
      </c>
      <c r="N34" s="120">
        <f t="shared" si="2"/>
        <v>35.236666666666665</v>
      </c>
      <c r="O34" s="120">
        <f t="shared" si="2"/>
        <v>0.98858741258741267</v>
      </c>
      <c r="P34" s="120">
        <f t="shared" si="2"/>
        <v>1.3909523809523809</v>
      </c>
      <c r="Q34" s="120">
        <f t="shared" si="2"/>
        <v>0.89958984375000017</v>
      </c>
      <c r="R34" s="120">
        <f t="shared" si="2"/>
        <v>1.241947565543071</v>
      </c>
      <c r="S34" s="120">
        <f t="shared" si="2"/>
        <v>0.8552867546654529</v>
      </c>
      <c r="T34" s="120" t="str">
        <f t="shared" si="2"/>
        <v/>
      </c>
      <c r="U34" s="120">
        <f t="shared" si="2"/>
        <v>2.5125333333333333</v>
      </c>
      <c r="V34" s="120">
        <f t="shared" si="2"/>
        <v>0.97195751138087971</v>
      </c>
      <c r="W34" s="120">
        <f t="shared" si="2"/>
        <v>2.6635555555555559</v>
      </c>
      <c r="X34" s="120" t="str">
        <f t="shared" si="2"/>
        <v/>
      </c>
      <c r="Y34" s="120">
        <f t="shared" si="2"/>
        <v>0.86053923928743403</v>
      </c>
      <c r="Z34" s="120">
        <f t="shared" si="2"/>
        <v>0.92963247863247855</v>
      </c>
      <c r="AA34" s="120">
        <f t="shared" si="2"/>
        <v>0.81931716690573508</v>
      </c>
      <c r="AB34" s="120">
        <f t="shared" si="2"/>
        <v>0.8589876581784095</v>
      </c>
      <c r="AC34" s="120" t="str">
        <f t="shared" si="2"/>
        <v/>
      </c>
      <c r="AD34" s="120">
        <f t="shared" si="2"/>
        <v>-19.015217391304343</v>
      </c>
      <c r="AE34" s="120" t="str">
        <f t="shared" si="2"/>
        <v/>
      </c>
      <c r="AF34" s="120">
        <f t="shared" si="2"/>
        <v>1.45214332247557</v>
      </c>
      <c r="AG34" s="120">
        <f t="shared" si="2"/>
        <v>1.3384767236299351</v>
      </c>
      <c r="AH34" s="120">
        <f t="shared" si="2"/>
        <v>1.355448297086582</v>
      </c>
      <c r="AI34" s="120" t="str">
        <f t="shared" si="2"/>
        <v/>
      </c>
      <c r="AJ34" s="120">
        <f t="shared" si="2"/>
        <v>2.1693652892561985</v>
      </c>
      <c r="AK34" s="120" t="str">
        <f t="shared" si="2"/>
        <v/>
      </c>
      <c r="AL34" s="120">
        <f t="shared" si="2"/>
        <v>1.6235006435006436</v>
      </c>
      <c r="AM34" s="120">
        <f t="shared" si="2"/>
        <v>1.0390175451109052</v>
      </c>
      <c r="AN34" s="120">
        <f t="shared" si="2"/>
        <v>0.63331899265477443</v>
      </c>
      <c r="AO34" s="120">
        <f t="shared" si="2"/>
        <v>1.4063428936986884</v>
      </c>
      <c r="AP34" s="120">
        <f t="shared" si="2"/>
        <v>1.0777923674358831</v>
      </c>
      <c r="AQ34" s="120">
        <f t="shared" si="2"/>
        <v>1.3459956592512208</v>
      </c>
      <c r="AR34" s="120">
        <f t="shared" si="2"/>
        <v>1.691874745279174</v>
      </c>
      <c r="AS34" s="120">
        <f t="shared" si="2"/>
        <v>1.63157734762438</v>
      </c>
      <c r="AT34" s="120">
        <f t="shared" si="2"/>
        <v>1.5000924541128484</v>
      </c>
      <c r="AU34" s="120" t="str">
        <f t="shared" si="2"/>
        <v/>
      </c>
      <c r="AV34" s="120">
        <f t="shared" si="2"/>
        <v>1.607287234042553</v>
      </c>
      <c r="AW34" s="120">
        <f t="shared" si="2"/>
        <v>0.9687206965840589</v>
      </c>
      <c r="AX34" s="120" t="str">
        <f t="shared" si="2"/>
        <v/>
      </c>
      <c r="AY34" s="120">
        <f t="shared" si="2"/>
        <v>0.94421580928481808</v>
      </c>
      <c r="AZ34" s="120"/>
      <c r="BA34" s="120"/>
      <c r="BB34" s="120"/>
      <c r="BC34" s="120"/>
      <c r="BD34" s="120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4"/>
  <sheetViews>
    <sheetView tabSelected="1" workbookViewId="0">
      <selection activeCell="H4" sqref="H4"/>
    </sheetView>
  </sheetViews>
  <sheetFormatPr defaultRowHeight="12.75" x14ac:dyDescent="0.2"/>
  <cols>
    <col min="5" max="5" width="23.42578125" customWidth="1"/>
    <col min="6" max="6" width="21" customWidth="1"/>
    <col min="8" max="8" width="26.28515625" customWidth="1"/>
    <col min="9" max="9" width="20.28515625" customWidth="1"/>
    <col min="11" max="11" width="24" customWidth="1"/>
    <col min="12" max="12" width="20" customWidth="1"/>
    <col min="13" max="13" width="20.5703125" customWidth="1"/>
    <col min="14" max="14" width="19.85546875" bestFit="1" customWidth="1"/>
    <col min="15" max="15" width="27.7109375" customWidth="1"/>
    <col min="16" max="16" width="23.140625" customWidth="1"/>
    <col min="17" max="17" width="23.5703125" customWidth="1"/>
    <col min="18" max="18" width="20.7109375" customWidth="1"/>
    <col min="19" max="19" width="19.28515625" customWidth="1"/>
    <col min="21" max="21" width="25.42578125" customWidth="1"/>
    <col min="22" max="22" width="19.140625" customWidth="1"/>
    <col min="23" max="23" width="22.5703125" customWidth="1"/>
    <col min="24" max="24" width="21.7109375" customWidth="1"/>
    <col min="25" max="25" width="29.140625" customWidth="1"/>
    <col min="26" max="26" width="20.140625" customWidth="1"/>
    <col min="27" max="27" width="27.85546875" customWidth="1"/>
    <col min="28" max="28" width="18.5703125" customWidth="1"/>
    <col min="29" max="29" width="19.5703125" customWidth="1"/>
    <col min="30" max="30" width="21.42578125" customWidth="1"/>
    <col min="31" max="31" width="20.42578125" customWidth="1"/>
    <col min="32" max="32" width="22.140625" customWidth="1"/>
    <col min="33" max="33" width="19.28515625" customWidth="1"/>
    <col min="34" max="34" width="23.42578125" customWidth="1"/>
    <col min="36" max="36" width="21.85546875" customWidth="1"/>
    <col min="38" max="38" width="25.7109375" customWidth="1"/>
    <col min="39" max="39" width="22.28515625" customWidth="1"/>
    <col min="40" max="40" width="19.42578125" customWidth="1"/>
    <col min="41" max="41" width="22.28515625" customWidth="1"/>
    <col min="42" max="42" width="19.5703125" customWidth="1"/>
    <col min="43" max="43" width="23.5703125" customWidth="1"/>
    <col min="44" max="44" width="23.28515625" customWidth="1"/>
    <col min="45" max="45" width="20.28515625" customWidth="1"/>
    <col min="46" max="46" width="21.5703125" customWidth="1"/>
    <col min="48" max="48" width="24.5703125" customWidth="1"/>
    <col min="49" max="49" width="22" customWidth="1"/>
    <col min="50" max="50" width="20.42578125" customWidth="1"/>
    <col min="51" max="51" width="22.28515625" customWidth="1"/>
    <col min="52" max="52" width="25.140625" customWidth="1"/>
    <col min="53" max="53" width="20" customWidth="1"/>
    <col min="54" max="54" width="19.42578125" customWidth="1"/>
    <col min="55" max="55" width="22.7109375" customWidth="1"/>
    <col min="56" max="56" width="20.5703125" customWidth="1"/>
    <col min="57" max="57" width="22" customWidth="1"/>
    <col min="58" max="58" width="24.5703125" customWidth="1"/>
    <col min="59" max="59" width="21.5703125" customWidth="1"/>
    <col min="60" max="60" width="24.5703125" customWidth="1"/>
    <col min="61" max="61" width="24.28515625" customWidth="1"/>
    <col min="62" max="62" width="27.5703125" customWidth="1"/>
    <col min="64" max="64" width="14.5703125" customWidth="1"/>
    <col min="65" max="65" width="18.7109375" customWidth="1"/>
    <col min="66" max="66" width="21.140625" customWidth="1"/>
  </cols>
  <sheetData>
    <row r="1" spans="1:66" x14ac:dyDescent="0.2">
      <c r="A1" s="1" t="s">
        <v>64</v>
      </c>
      <c r="B1" s="47">
        <v>594386</v>
      </c>
      <c r="C1" s="26">
        <v>1588956</v>
      </c>
      <c r="D1" s="26"/>
      <c r="E1" s="48" t="s">
        <v>121</v>
      </c>
      <c r="F1" s="48" t="s">
        <v>148</v>
      </c>
      <c r="G1" s="48" t="s">
        <v>121</v>
      </c>
      <c r="H1" s="48" t="s">
        <v>149</v>
      </c>
      <c r="I1" s="140" t="s">
        <v>126</v>
      </c>
      <c r="J1" s="48">
        <v>263754</v>
      </c>
      <c r="K1" s="48" t="s">
        <v>116</v>
      </c>
      <c r="L1" s="26" t="s">
        <v>117</v>
      </c>
      <c r="M1" s="26" t="s">
        <v>115</v>
      </c>
      <c r="N1" s="26" t="s">
        <v>103</v>
      </c>
      <c r="O1" s="26" t="s">
        <v>105</v>
      </c>
      <c r="P1" s="26" t="s">
        <v>112</v>
      </c>
      <c r="Q1" s="26" t="s">
        <v>111</v>
      </c>
      <c r="R1" s="26" t="s">
        <v>109</v>
      </c>
      <c r="S1" s="26" t="s">
        <v>104</v>
      </c>
      <c r="T1" s="26">
        <v>647856</v>
      </c>
      <c r="U1" s="26" t="s">
        <v>101</v>
      </c>
      <c r="V1" s="26" t="s">
        <v>138</v>
      </c>
      <c r="W1" s="26" t="s">
        <v>129</v>
      </c>
      <c r="X1" s="26" t="s">
        <v>123</v>
      </c>
      <c r="Y1" s="26" t="s">
        <v>107</v>
      </c>
      <c r="Z1" s="26" t="s">
        <v>108</v>
      </c>
      <c r="AA1" s="26" t="s">
        <v>151</v>
      </c>
      <c r="AB1" s="26" t="s">
        <v>106</v>
      </c>
      <c r="AC1" s="50" t="s">
        <v>113</v>
      </c>
      <c r="AD1" s="50" t="s">
        <v>119</v>
      </c>
      <c r="AE1" s="26" t="s">
        <v>120</v>
      </c>
      <c r="AF1" s="50" t="s">
        <v>128</v>
      </c>
      <c r="AG1" s="141" t="s">
        <v>125</v>
      </c>
      <c r="AH1" s="50" t="s">
        <v>134</v>
      </c>
      <c r="AI1" s="52">
        <v>749339</v>
      </c>
      <c r="AJ1" s="53" t="s">
        <v>130</v>
      </c>
      <c r="AK1" s="54">
        <v>765933</v>
      </c>
      <c r="AL1" s="53" t="s">
        <v>136</v>
      </c>
      <c r="AM1" s="53" t="s">
        <v>137</v>
      </c>
      <c r="AN1" s="53" t="s">
        <v>140</v>
      </c>
      <c r="AO1" s="53" t="s">
        <v>131</v>
      </c>
      <c r="AP1" s="53" t="s">
        <v>132</v>
      </c>
      <c r="AQ1" s="53" t="s">
        <v>133</v>
      </c>
      <c r="AR1" s="53" t="s">
        <v>139</v>
      </c>
      <c r="AS1" s="53" t="s">
        <v>144</v>
      </c>
      <c r="AT1" s="143" t="s">
        <v>146</v>
      </c>
      <c r="AU1" s="48">
        <v>1060882</v>
      </c>
      <c r="AV1" s="26" t="s">
        <v>95</v>
      </c>
      <c r="AW1" s="7" t="s">
        <v>122</v>
      </c>
      <c r="AX1" s="44" t="s">
        <v>135</v>
      </c>
      <c r="AY1" s="7" t="s">
        <v>93</v>
      </c>
      <c r="AZ1" s="7" t="s">
        <v>94</v>
      </c>
      <c r="BA1" s="7" t="s">
        <v>145</v>
      </c>
      <c r="BB1" s="7" t="s">
        <v>124</v>
      </c>
      <c r="BC1" s="1" t="s">
        <v>114</v>
      </c>
      <c r="BD1" s="1" t="s">
        <v>97</v>
      </c>
      <c r="BE1" s="7" t="s">
        <v>142</v>
      </c>
      <c r="BF1" s="7" t="s">
        <v>143</v>
      </c>
      <c r="BG1" s="139" t="s">
        <v>141</v>
      </c>
      <c r="BH1" s="7" t="s">
        <v>102</v>
      </c>
      <c r="BI1" s="7" t="s">
        <v>100</v>
      </c>
      <c r="BJ1" s="7" t="s">
        <v>96</v>
      </c>
      <c r="BK1" s="7" t="s">
        <v>91</v>
      </c>
      <c r="BL1" s="139">
        <v>210100291062</v>
      </c>
      <c r="BM1" s="7">
        <v>210100699244</v>
      </c>
      <c r="BN1" s="7">
        <v>210100892929</v>
      </c>
    </row>
    <row r="2" spans="1:66" ht="51" x14ac:dyDescent="0.2">
      <c r="A2" s="99">
        <v>2025</v>
      </c>
      <c r="B2" s="100" t="s">
        <v>3</v>
      </c>
      <c r="C2" s="100" t="s">
        <v>3</v>
      </c>
      <c r="D2" s="100" t="s">
        <v>3</v>
      </c>
      <c r="E2" s="101" t="s">
        <v>4</v>
      </c>
      <c r="F2" s="101" t="s">
        <v>4</v>
      </c>
      <c r="G2" s="101" t="s">
        <v>5</v>
      </c>
      <c r="H2" s="101" t="s">
        <v>6</v>
      </c>
      <c r="I2" s="101" t="s">
        <v>6</v>
      </c>
      <c r="J2" s="101" t="s">
        <v>6</v>
      </c>
      <c r="K2" s="101" t="s">
        <v>68</v>
      </c>
      <c r="L2" s="101" t="s">
        <v>8</v>
      </c>
      <c r="M2" s="101" t="s">
        <v>67</v>
      </c>
      <c r="N2" s="101" t="s">
        <v>10</v>
      </c>
      <c r="O2" s="101" t="s">
        <v>66</v>
      </c>
      <c r="P2" s="101" t="s">
        <v>65</v>
      </c>
      <c r="Q2" s="101" t="s">
        <v>63</v>
      </c>
      <c r="R2" s="101" t="s">
        <v>69</v>
      </c>
      <c r="S2" s="102" t="s">
        <v>15</v>
      </c>
      <c r="T2" s="101" t="s">
        <v>70</v>
      </c>
      <c r="U2" s="101" t="s">
        <v>71</v>
      </c>
      <c r="V2" s="101" t="s">
        <v>72</v>
      </c>
      <c r="W2" s="121" t="s">
        <v>19</v>
      </c>
      <c r="X2" s="101" t="s">
        <v>20</v>
      </c>
      <c r="Y2" s="101" t="s">
        <v>73</v>
      </c>
      <c r="Z2" s="101" t="s">
        <v>74</v>
      </c>
      <c r="AA2" s="102" t="s">
        <v>23</v>
      </c>
      <c r="AB2" s="101" t="s">
        <v>24</v>
      </c>
      <c r="AC2" s="101" t="s">
        <v>25</v>
      </c>
      <c r="AD2" s="101" t="s">
        <v>26</v>
      </c>
      <c r="AE2" s="101" t="s">
        <v>26</v>
      </c>
      <c r="AF2" s="101" t="s">
        <v>27</v>
      </c>
      <c r="AG2" s="101" t="s">
        <v>55</v>
      </c>
      <c r="AH2" s="101" t="s">
        <v>28</v>
      </c>
      <c r="AI2" s="103" t="s">
        <v>29</v>
      </c>
      <c r="AJ2" s="101" t="s">
        <v>19</v>
      </c>
      <c r="AK2" s="102" t="s">
        <v>30</v>
      </c>
      <c r="AL2" s="101" t="s">
        <v>4</v>
      </c>
      <c r="AM2" s="102" t="s">
        <v>31</v>
      </c>
      <c r="AN2" s="101" t="s">
        <v>32</v>
      </c>
      <c r="AO2" s="101" t="s">
        <v>5</v>
      </c>
      <c r="AP2" s="101" t="s">
        <v>33</v>
      </c>
      <c r="AQ2" s="101" t="s">
        <v>34</v>
      </c>
      <c r="AR2" s="101" t="s">
        <v>56</v>
      </c>
      <c r="AS2" s="101" t="s">
        <v>35</v>
      </c>
      <c r="AT2" s="101" t="s">
        <v>36</v>
      </c>
      <c r="AU2" s="101" t="s">
        <v>37</v>
      </c>
      <c r="AV2" s="104" t="s">
        <v>38</v>
      </c>
      <c r="AW2" s="85" t="s">
        <v>39</v>
      </c>
      <c r="AX2" s="104" t="s">
        <v>57</v>
      </c>
      <c r="AY2" s="104" t="s">
        <v>40</v>
      </c>
      <c r="AZ2" s="105" t="s">
        <v>75</v>
      </c>
      <c r="BA2" s="105" t="s">
        <v>76</v>
      </c>
      <c r="BB2" s="105" t="s">
        <v>77</v>
      </c>
      <c r="BC2" s="105" t="s">
        <v>79</v>
      </c>
      <c r="BD2" s="105" t="s">
        <v>80</v>
      </c>
      <c r="BE2" s="105" t="s">
        <v>99</v>
      </c>
      <c r="BF2" s="105" t="s">
        <v>98</v>
      </c>
      <c r="BG2" s="105" t="s">
        <v>84</v>
      </c>
      <c r="BH2" s="105" t="s">
        <v>85</v>
      </c>
      <c r="BI2" s="105" t="s">
        <v>88</v>
      </c>
      <c r="BJ2" s="105" t="s">
        <v>90</v>
      </c>
      <c r="BK2" s="105" t="s">
        <v>84</v>
      </c>
      <c r="BL2" s="105" t="s">
        <v>84</v>
      </c>
      <c r="BM2" s="105" t="s">
        <v>147</v>
      </c>
      <c r="BN2" s="105" t="s">
        <v>150</v>
      </c>
    </row>
    <row r="3" spans="1:66" x14ac:dyDescent="0.2">
      <c r="A3" s="26" t="s">
        <v>59</v>
      </c>
      <c r="E3">
        <v>119</v>
      </c>
      <c r="F3">
        <v>477</v>
      </c>
      <c r="H3">
        <v>690</v>
      </c>
      <c r="I3">
        <v>1482</v>
      </c>
      <c r="K3">
        <v>278</v>
      </c>
      <c r="L3">
        <v>8</v>
      </c>
      <c r="M3">
        <v>97</v>
      </c>
      <c r="N3">
        <v>0</v>
      </c>
      <c r="O3">
        <v>276</v>
      </c>
      <c r="P3">
        <v>203</v>
      </c>
      <c r="Q3">
        <v>1063</v>
      </c>
      <c r="R3">
        <v>149</v>
      </c>
      <c r="S3">
        <v>1098</v>
      </c>
      <c r="U3">
        <v>6</v>
      </c>
      <c r="V3">
        <v>310</v>
      </c>
      <c r="W3">
        <v>6</v>
      </c>
      <c r="X3">
        <v>0</v>
      </c>
      <c r="Y3">
        <v>2125</v>
      </c>
      <c r="Z3">
        <v>616</v>
      </c>
      <c r="AA3">
        <v>10369</v>
      </c>
      <c r="AB3">
        <v>2305</v>
      </c>
      <c r="AC3">
        <v>0</v>
      </c>
      <c r="AD3">
        <v>26</v>
      </c>
      <c r="AE3">
        <v>0</v>
      </c>
      <c r="AF3">
        <v>0</v>
      </c>
      <c r="AG3">
        <v>0</v>
      </c>
      <c r="AH3">
        <v>20</v>
      </c>
      <c r="AJ3">
        <v>0</v>
      </c>
      <c r="AL3">
        <v>0</v>
      </c>
      <c r="AM3">
        <v>500</v>
      </c>
      <c r="AN3">
        <v>730</v>
      </c>
      <c r="AO3">
        <v>0</v>
      </c>
      <c r="AP3">
        <v>490</v>
      </c>
      <c r="AQ3">
        <v>60</v>
      </c>
      <c r="AR3">
        <v>0</v>
      </c>
      <c r="AS3">
        <v>900</v>
      </c>
      <c r="AT3">
        <v>0</v>
      </c>
      <c r="AV3">
        <v>97</v>
      </c>
      <c r="AW3">
        <v>471</v>
      </c>
      <c r="AX3">
        <v>0</v>
      </c>
      <c r="AY3">
        <v>563</v>
      </c>
      <c r="AZ3">
        <v>106</v>
      </c>
      <c r="BA3">
        <v>10</v>
      </c>
      <c r="BB3">
        <v>229</v>
      </c>
      <c r="BC3">
        <v>0</v>
      </c>
      <c r="BD3">
        <v>42310</v>
      </c>
      <c r="BE3">
        <v>36041</v>
      </c>
      <c r="BF3">
        <v>77328.179999999993</v>
      </c>
      <c r="BG3">
        <v>0</v>
      </c>
      <c r="BH3">
        <v>4634</v>
      </c>
      <c r="BI3">
        <v>0</v>
      </c>
      <c r="BJ3">
        <v>2031</v>
      </c>
      <c r="BL3">
        <v>64</v>
      </c>
      <c r="BM3">
        <v>2085</v>
      </c>
    </row>
    <row r="4" spans="1:66" x14ac:dyDescent="0.2">
      <c r="A4" s="25" t="s">
        <v>42</v>
      </c>
      <c r="E4">
        <v>65</v>
      </c>
      <c r="F4">
        <v>261</v>
      </c>
      <c r="H4">
        <v>567</v>
      </c>
      <c r="I4">
        <v>1451</v>
      </c>
      <c r="K4">
        <v>245</v>
      </c>
      <c r="L4">
        <v>9</v>
      </c>
      <c r="M4">
        <v>94</v>
      </c>
      <c r="N4">
        <v>0</v>
      </c>
      <c r="O4">
        <v>215</v>
      </c>
      <c r="P4">
        <v>210</v>
      </c>
      <c r="Q4">
        <v>878</v>
      </c>
      <c r="R4">
        <v>125</v>
      </c>
      <c r="S4">
        <v>745</v>
      </c>
      <c r="U4">
        <v>10</v>
      </c>
      <c r="V4">
        <v>470</v>
      </c>
      <c r="W4">
        <v>6</v>
      </c>
      <c r="X4">
        <v>0</v>
      </c>
      <c r="Y4">
        <v>1466</v>
      </c>
      <c r="Z4">
        <v>387</v>
      </c>
      <c r="AA4">
        <v>7885</v>
      </c>
      <c r="AB4">
        <v>1574</v>
      </c>
      <c r="AC4">
        <v>0</v>
      </c>
      <c r="AD4">
        <v>0</v>
      </c>
      <c r="AE4">
        <v>0</v>
      </c>
      <c r="AF4">
        <v>0</v>
      </c>
      <c r="AG4">
        <v>0</v>
      </c>
      <c r="AH4">
        <v>10</v>
      </c>
      <c r="AJ4">
        <v>0</v>
      </c>
      <c r="AL4">
        <v>0</v>
      </c>
      <c r="AM4">
        <v>240</v>
      </c>
      <c r="AN4">
        <v>410</v>
      </c>
      <c r="AO4">
        <v>0</v>
      </c>
      <c r="AP4">
        <v>370</v>
      </c>
      <c r="AQ4">
        <v>20</v>
      </c>
      <c r="AR4">
        <v>0</v>
      </c>
      <c r="AS4">
        <v>470</v>
      </c>
      <c r="AT4">
        <v>0</v>
      </c>
      <c r="AV4">
        <v>73</v>
      </c>
      <c r="AW4">
        <v>413</v>
      </c>
      <c r="AX4">
        <v>0</v>
      </c>
      <c r="AY4">
        <v>483</v>
      </c>
      <c r="AZ4">
        <v>79</v>
      </c>
      <c r="BA4">
        <v>0</v>
      </c>
      <c r="BB4">
        <v>176</v>
      </c>
      <c r="BC4">
        <v>0</v>
      </c>
      <c r="BD4">
        <v>40841</v>
      </c>
      <c r="BE4">
        <v>39039</v>
      </c>
      <c r="BF4">
        <v>60988.99</v>
      </c>
      <c r="BG4">
        <v>0</v>
      </c>
      <c r="BH4">
        <v>3868</v>
      </c>
      <c r="BI4">
        <v>0</v>
      </c>
      <c r="BJ4">
        <v>1250</v>
      </c>
      <c r="BL4">
        <v>61</v>
      </c>
      <c r="BM4">
        <v>1502</v>
      </c>
    </row>
    <row r="5" spans="1:66" x14ac:dyDescent="0.2">
      <c r="A5" s="25" t="s">
        <v>43</v>
      </c>
      <c r="E5">
        <v>59</v>
      </c>
      <c r="F5">
        <v>3</v>
      </c>
      <c r="H5">
        <v>246</v>
      </c>
      <c r="I5">
        <v>752</v>
      </c>
      <c r="K5">
        <v>64</v>
      </c>
      <c r="L5">
        <v>6</v>
      </c>
      <c r="M5">
        <v>16</v>
      </c>
      <c r="N5">
        <v>0</v>
      </c>
      <c r="O5">
        <v>70</v>
      </c>
      <c r="P5">
        <v>149</v>
      </c>
      <c r="Q5">
        <v>180</v>
      </c>
      <c r="R5">
        <v>0</v>
      </c>
      <c r="S5">
        <v>228</v>
      </c>
      <c r="U5">
        <v>11</v>
      </c>
      <c r="V5">
        <v>348</v>
      </c>
      <c r="W5">
        <v>6</v>
      </c>
      <c r="X5">
        <v>0</v>
      </c>
      <c r="Y5">
        <v>524</v>
      </c>
      <c r="Z5">
        <v>75</v>
      </c>
      <c r="AA5">
        <v>4642</v>
      </c>
      <c r="AB5">
        <v>490</v>
      </c>
      <c r="AC5">
        <v>0</v>
      </c>
      <c r="AD5">
        <v>0</v>
      </c>
      <c r="AE5">
        <v>0</v>
      </c>
      <c r="AF5">
        <v>0</v>
      </c>
      <c r="AG5">
        <v>0</v>
      </c>
      <c r="AH5">
        <v>10</v>
      </c>
      <c r="AJ5">
        <v>0</v>
      </c>
      <c r="AL5">
        <v>0</v>
      </c>
      <c r="AM5">
        <v>180</v>
      </c>
      <c r="AN5">
        <v>100</v>
      </c>
      <c r="AO5">
        <v>0</v>
      </c>
      <c r="AP5">
        <v>140</v>
      </c>
      <c r="AQ5">
        <v>10</v>
      </c>
      <c r="AR5">
        <v>0</v>
      </c>
      <c r="AS5">
        <v>90</v>
      </c>
      <c r="AT5">
        <v>0</v>
      </c>
      <c r="AV5">
        <v>29</v>
      </c>
      <c r="AW5">
        <v>273</v>
      </c>
      <c r="AX5">
        <v>0</v>
      </c>
      <c r="AY5">
        <v>90</v>
      </c>
      <c r="AZ5">
        <v>10</v>
      </c>
      <c r="BA5">
        <v>0</v>
      </c>
      <c r="BB5">
        <v>59</v>
      </c>
      <c r="BC5">
        <v>0</v>
      </c>
      <c r="BD5">
        <v>40790</v>
      </c>
      <c r="BE5">
        <v>36929</v>
      </c>
      <c r="BF5">
        <v>63296.86</v>
      </c>
      <c r="BG5">
        <v>0</v>
      </c>
      <c r="BH5">
        <v>1620</v>
      </c>
      <c r="BI5">
        <v>319</v>
      </c>
      <c r="BJ5">
        <v>27</v>
      </c>
      <c r="BL5">
        <v>36</v>
      </c>
      <c r="BM5">
        <v>462</v>
      </c>
    </row>
    <row r="6" spans="1:66" x14ac:dyDescent="0.2">
      <c r="A6" s="25" t="s">
        <v>44</v>
      </c>
      <c r="E6">
        <v>9</v>
      </c>
      <c r="F6">
        <v>0</v>
      </c>
      <c r="H6">
        <v>106</v>
      </c>
      <c r="I6">
        <v>311</v>
      </c>
      <c r="K6">
        <v>18</v>
      </c>
      <c r="L6">
        <v>7</v>
      </c>
      <c r="M6">
        <v>1</v>
      </c>
      <c r="N6">
        <v>0</v>
      </c>
      <c r="O6">
        <v>15</v>
      </c>
      <c r="P6">
        <v>41</v>
      </c>
      <c r="Q6">
        <v>18</v>
      </c>
      <c r="R6">
        <v>0</v>
      </c>
      <c r="S6">
        <v>0</v>
      </c>
      <c r="U6">
        <v>5</v>
      </c>
      <c r="V6">
        <v>74</v>
      </c>
      <c r="W6">
        <v>4</v>
      </c>
      <c r="X6">
        <v>0</v>
      </c>
      <c r="Y6">
        <v>180</v>
      </c>
      <c r="Z6">
        <v>21</v>
      </c>
      <c r="AA6">
        <v>2275</v>
      </c>
      <c r="AB6">
        <v>187</v>
      </c>
      <c r="AC6">
        <v>0</v>
      </c>
      <c r="AD6">
        <v>0</v>
      </c>
      <c r="AE6">
        <v>0</v>
      </c>
      <c r="AF6">
        <v>0</v>
      </c>
      <c r="AG6">
        <v>0</v>
      </c>
      <c r="AH6">
        <v>10</v>
      </c>
      <c r="AJ6">
        <v>0</v>
      </c>
      <c r="AL6">
        <v>0</v>
      </c>
      <c r="AM6">
        <v>10</v>
      </c>
      <c r="AN6">
        <v>20</v>
      </c>
      <c r="AO6">
        <v>0</v>
      </c>
      <c r="AP6">
        <v>30</v>
      </c>
      <c r="AQ6">
        <v>0</v>
      </c>
      <c r="AR6">
        <v>0</v>
      </c>
      <c r="AS6">
        <v>40</v>
      </c>
      <c r="AT6">
        <v>0</v>
      </c>
      <c r="AV6">
        <v>15</v>
      </c>
      <c r="AW6">
        <v>99</v>
      </c>
      <c r="AX6">
        <v>0</v>
      </c>
      <c r="AY6">
        <v>23</v>
      </c>
      <c r="AZ6">
        <v>15</v>
      </c>
      <c r="BA6">
        <v>0</v>
      </c>
      <c r="BB6">
        <v>4</v>
      </c>
      <c r="BD6">
        <v>34003</v>
      </c>
      <c r="BE6">
        <v>17100</v>
      </c>
      <c r="BF6">
        <v>56081.95</v>
      </c>
      <c r="BG6">
        <v>0</v>
      </c>
      <c r="BH6">
        <v>213</v>
      </c>
      <c r="BI6">
        <v>123</v>
      </c>
      <c r="BJ6">
        <v>8</v>
      </c>
      <c r="BL6">
        <v>21</v>
      </c>
      <c r="BM6">
        <v>306</v>
      </c>
    </row>
    <row r="7" spans="1:66" x14ac:dyDescent="0.2">
      <c r="A7" s="25" t="s">
        <v>45</v>
      </c>
      <c r="E7">
        <v>6</v>
      </c>
      <c r="F7">
        <v>0</v>
      </c>
      <c r="H7">
        <v>10</v>
      </c>
      <c r="I7">
        <v>7</v>
      </c>
      <c r="K7">
        <v>0</v>
      </c>
      <c r="L7">
        <v>6</v>
      </c>
      <c r="M7">
        <v>0</v>
      </c>
      <c r="N7">
        <v>0</v>
      </c>
      <c r="O7">
        <v>1</v>
      </c>
      <c r="P7">
        <v>34</v>
      </c>
      <c r="Q7">
        <v>1</v>
      </c>
      <c r="R7">
        <v>0</v>
      </c>
      <c r="S7">
        <v>0</v>
      </c>
      <c r="U7">
        <v>0</v>
      </c>
      <c r="V7">
        <v>22</v>
      </c>
      <c r="W7">
        <v>3</v>
      </c>
      <c r="X7">
        <v>0</v>
      </c>
      <c r="Y7">
        <v>15</v>
      </c>
      <c r="Z7">
        <v>5</v>
      </c>
      <c r="AA7">
        <v>256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0</v>
      </c>
      <c r="AL7">
        <v>0</v>
      </c>
      <c r="AM7">
        <v>20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9</v>
      </c>
      <c r="AW7">
        <v>7</v>
      </c>
      <c r="AX7">
        <v>0</v>
      </c>
      <c r="AY7">
        <v>0</v>
      </c>
      <c r="AZ7">
        <v>8</v>
      </c>
      <c r="BA7">
        <v>0</v>
      </c>
      <c r="BB7">
        <v>0</v>
      </c>
      <c r="BD7">
        <v>27495</v>
      </c>
      <c r="BE7">
        <v>21492</v>
      </c>
      <c r="BF7">
        <v>38799.25</v>
      </c>
      <c r="BG7">
        <v>0</v>
      </c>
      <c r="BH7">
        <v>5</v>
      </c>
      <c r="BI7">
        <v>33</v>
      </c>
      <c r="BJ7">
        <v>6</v>
      </c>
      <c r="BL7">
        <v>1</v>
      </c>
      <c r="BM7">
        <v>273</v>
      </c>
      <c r="BN7">
        <v>18</v>
      </c>
    </row>
    <row r="8" spans="1:66" x14ac:dyDescent="0.2">
      <c r="A8" s="25" t="s">
        <v>46</v>
      </c>
      <c r="E8">
        <v>6</v>
      </c>
      <c r="F8">
        <v>0</v>
      </c>
      <c r="H8">
        <v>9</v>
      </c>
      <c r="I8">
        <v>0</v>
      </c>
      <c r="K8">
        <v>0</v>
      </c>
      <c r="L8">
        <v>4</v>
      </c>
      <c r="M8">
        <v>0</v>
      </c>
      <c r="N8">
        <v>0</v>
      </c>
      <c r="O8">
        <v>0</v>
      </c>
      <c r="P8">
        <v>43</v>
      </c>
      <c r="Q8">
        <v>1</v>
      </c>
      <c r="R8">
        <v>0</v>
      </c>
      <c r="S8">
        <v>0</v>
      </c>
      <c r="U8">
        <v>1</v>
      </c>
      <c r="V8">
        <v>0</v>
      </c>
      <c r="W8">
        <v>2</v>
      </c>
      <c r="X8">
        <v>0</v>
      </c>
      <c r="Y8">
        <v>0</v>
      </c>
      <c r="Z8">
        <v>0</v>
      </c>
      <c r="AA8" s="87" t="s">
        <v>153</v>
      </c>
      <c r="AB8">
        <v>54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>
        <v>0</v>
      </c>
      <c r="AL8">
        <v>0</v>
      </c>
      <c r="AM8">
        <v>10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10</v>
      </c>
      <c r="AV8">
        <v>7</v>
      </c>
      <c r="AW8">
        <v>1</v>
      </c>
      <c r="AX8">
        <v>0</v>
      </c>
      <c r="AY8">
        <v>0</v>
      </c>
      <c r="AZ8">
        <v>9</v>
      </c>
      <c r="BA8">
        <v>0</v>
      </c>
      <c r="BB8">
        <v>0</v>
      </c>
      <c r="BD8">
        <v>39876</v>
      </c>
      <c r="BE8">
        <v>28141</v>
      </c>
      <c r="BF8">
        <v>56001.9</v>
      </c>
      <c r="BG8">
        <v>0</v>
      </c>
      <c r="BH8">
        <v>0</v>
      </c>
      <c r="BI8">
        <v>3</v>
      </c>
      <c r="BJ8">
        <v>6</v>
      </c>
      <c r="BL8">
        <v>0</v>
      </c>
      <c r="BM8">
        <v>147</v>
      </c>
    </row>
    <row r="9" spans="1:66" x14ac:dyDescent="0.2">
      <c r="A9" s="25" t="s">
        <v>47</v>
      </c>
      <c r="E9">
        <v>3</v>
      </c>
      <c r="F9">
        <v>0</v>
      </c>
      <c r="H9">
        <v>11</v>
      </c>
      <c r="I9">
        <v>0</v>
      </c>
      <c r="K9">
        <v>0</v>
      </c>
      <c r="L9">
        <v>7</v>
      </c>
      <c r="M9">
        <v>0</v>
      </c>
      <c r="N9">
        <v>0</v>
      </c>
      <c r="O9">
        <v>0</v>
      </c>
      <c r="P9">
        <v>35</v>
      </c>
      <c r="Q9">
        <v>1</v>
      </c>
      <c r="R9">
        <v>0</v>
      </c>
      <c r="S9">
        <v>0</v>
      </c>
      <c r="U9">
        <v>3</v>
      </c>
      <c r="V9">
        <v>0</v>
      </c>
      <c r="W9">
        <v>3</v>
      </c>
      <c r="X9">
        <v>0</v>
      </c>
      <c r="Y9">
        <v>9</v>
      </c>
      <c r="Z9">
        <v>0</v>
      </c>
      <c r="AA9">
        <v>18</v>
      </c>
      <c r="AB9">
        <v>59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0</v>
      </c>
      <c r="AL9">
        <v>0</v>
      </c>
      <c r="AM9">
        <v>20</v>
      </c>
      <c r="AN9">
        <v>0</v>
      </c>
      <c r="AO9">
        <v>10</v>
      </c>
      <c r="AP9">
        <v>0</v>
      </c>
      <c r="AQ9">
        <v>210</v>
      </c>
      <c r="AR9">
        <v>0</v>
      </c>
      <c r="AS9">
        <v>0</v>
      </c>
      <c r="AT9">
        <v>0</v>
      </c>
      <c r="AV9">
        <v>8</v>
      </c>
      <c r="AW9">
        <v>3</v>
      </c>
      <c r="AX9">
        <v>0</v>
      </c>
      <c r="AY9">
        <v>0</v>
      </c>
      <c r="AZ9">
        <v>8</v>
      </c>
      <c r="BA9">
        <v>0</v>
      </c>
      <c r="BD9">
        <v>27963</v>
      </c>
      <c r="BE9">
        <v>15205</v>
      </c>
      <c r="BF9">
        <v>58783.38</v>
      </c>
      <c r="BG9">
        <v>0</v>
      </c>
      <c r="BH9">
        <v>0</v>
      </c>
      <c r="BI9">
        <v>0</v>
      </c>
      <c r="BJ9">
        <v>5</v>
      </c>
      <c r="BL9">
        <v>0</v>
      </c>
      <c r="BM9">
        <v>124</v>
      </c>
    </row>
    <row r="10" spans="1:66" x14ac:dyDescent="0.2">
      <c r="A10" s="25" t="s">
        <v>48</v>
      </c>
      <c r="P10">
        <v>27</v>
      </c>
      <c r="U10">
        <v>4</v>
      </c>
      <c r="V10">
        <v>0</v>
      </c>
      <c r="X10">
        <v>10</v>
      </c>
      <c r="AC10">
        <v>0</v>
      </c>
    </row>
    <row r="11" spans="1:66" x14ac:dyDescent="0.2">
      <c r="A11" s="25" t="s">
        <v>49</v>
      </c>
    </row>
    <row r="12" spans="1:66" x14ac:dyDescent="0.2">
      <c r="A12" s="25" t="s">
        <v>50</v>
      </c>
    </row>
    <row r="13" spans="1:66" x14ac:dyDescent="0.2">
      <c r="A13" s="25" t="s">
        <v>51</v>
      </c>
    </row>
    <row r="14" spans="1:66" x14ac:dyDescent="0.2">
      <c r="A14" s="25" t="s">
        <v>52</v>
      </c>
    </row>
    <row r="15" spans="1:66" ht="13.5" thickBot="1" x14ac:dyDescent="0.25">
      <c r="A15" s="92" t="s">
        <v>58</v>
      </c>
      <c r="B15" s="93">
        <f>SUM(B3:B14)/10</f>
        <v>0</v>
      </c>
      <c r="C15" s="93">
        <f>SUM(C3:C14)/10</f>
        <v>0</v>
      </c>
      <c r="D15" s="93">
        <f>SUM(D3:D14)/10</f>
        <v>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</row>
    <row r="16" spans="1:66" ht="13.5" thickTop="1" x14ac:dyDescent="0.2">
      <c r="A16" s="92"/>
      <c r="B16" s="134">
        <f>SUM(B3:B14)</f>
        <v>0</v>
      </c>
      <c r="C16" s="134">
        <f t="shared" ref="C16:BM16" si="0">SUM(C3:C14)</f>
        <v>0</v>
      </c>
      <c r="D16" s="134">
        <f t="shared" si="0"/>
        <v>0</v>
      </c>
      <c r="E16" s="134">
        <f t="shared" si="0"/>
        <v>267</v>
      </c>
      <c r="F16" s="134">
        <f t="shared" si="0"/>
        <v>741</v>
      </c>
      <c r="G16" s="134">
        <f t="shared" si="0"/>
        <v>0</v>
      </c>
      <c r="H16" s="134">
        <f t="shared" si="0"/>
        <v>1639</v>
      </c>
      <c r="I16" s="134">
        <f t="shared" si="0"/>
        <v>4003</v>
      </c>
      <c r="J16" s="134">
        <f t="shared" si="0"/>
        <v>0</v>
      </c>
      <c r="K16" s="134">
        <f t="shared" si="0"/>
        <v>605</v>
      </c>
      <c r="L16" s="134">
        <f t="shared" si="0"/>
        <v>47</v>
      </c>
      <c r="M16" s="134">
        <f t="shared" si="0"/>
        <v>208</v>
      </c>
      <c r="N16" s="134">
        <f t="shared" si="0"/>
        <v>0</v>
      </c>
      <c r="O16" s="134">
        <f t="shared" si="0"/>
        <v>577</v>
      </c>
      <c r="P16" s="134">
        <f t="shared" si="0"/>
        <v>742</v>
      </c>
      <c r="Q16" s="134">
        <f t="shared" si="0"/>
        <v>2142</v>
      </c>
      <c r="R16" s="134">
        <f t="shared" si="0"/>
        <v>274</v>
      </c>
      <c r="S16" s="134">
        <f t="shared" si="0"/>
        <v>2071</v>
      </c>
      <c r="T16" s="134">
        <f t="shared" si="0"/>
        <v>0</v>
      </c>
      <c r="U16" s="134">
        <f t="shared" si="0"/>
        <v>40</v>
      </c>
      <c r="V16" s="134">
        <f t="shared" si="0"/>
        <v>1224</v>
      </c>
      <c r="W16" s="134">
        <f t="shared" si="0"/>
        <v>30</v>
      </c>
      <c r="X16" s="134">
        <f t="shared" si="0"/>
        <v>10</v>
      </c>
      <c r="Y16" s="134">
        <f t="shared" si="0"/>
        <v>4319</v>
      </c>
      <c r="Z16" s="134">
        <f t="shared" si="0"/>
        <v>1104</v>
      </c>
      <c r="AA16" s="134">
        <f t="shared" si="0"/>
        <v>25445</v>
      </c>
      <c r="AB16" s="134">
        <f t="shared" si="0"/>
        <v>4669</v>
      </c>
      <c r="AC16" s="134">
        <f t="shared" si="0"/>
        <v>0</v>
      </c>
      <c r="AD16" s="134">
        <f t="shared" si="0"/>
        <v>26</v>
      </c>
      <c r="AE16" s="134">
        <f t="shared" si="0"/>
        <v>0</v>
      </c>
      <c r="AF16" s="134">
        <f t="shared" si="0"/>
        <v>0</v>
      </c>
      <c r="AG16" s="134">
        <f t="shared" si="0"/>
        <v>0</v>
      </c>
      <c r="AH16" s="134">
        <f t="shared" si="0"/>
        <v>50</v>
      </c>
      <c r="AI16" s="134">
        <f t="shared" si="0"/>
        <v>0</v>
      </c>
      <c r="AJ16" s="134">
        <f t="shared" si="0"/>
        <v>0</v>
      </c>
      <c r="AK16" s="134">
        <f t="shared" si="0"/>
        <v>0</v>
      </c>
      <c r="AL16" s="134">
        <f t="shared" si="0"/>
        <v>0</v>
      </c>
      <c r="AM16" s="134">
        <f t="shared" si="0"/>
        <v>980</v>
      </c>
      <c r="AN16" s="134">
        <f t="shared" si="0"/>
        <v>1260</v>
      </c>
      <c r="AO16" s="134">
        <f t="shared" si="0"/>
        <v>10</v>
      </c>
      <c r="AP16" s="134">
        <f t="shared" si="0"/>
        <v>1030</v>
      </c>
      <c r="AQ16" s="134">
        <f t="shared" si="0"/>
        <v>300</v>
      </c>
      <c r="AR16" s="134">
        <f t="shared" si="0"/>
        <v>0</v>
      </c>
      <c r="AS16" s="134">
        <f t="shared" si="0"/>
        <v>1500</v>
      </c>
      <c r="AT16" s="134">
        <f t="shared" si="0"/>
        <v>10</v>
      </c>
      <c r="AU16" s="134">
        <f t="shared" si="0"/>
        <v>0</v>
      </c>
      <c r="AV16" s="134">
        <f t="shared" si="0"/>
        <v>238</v>
      </c>
      <c r="AW16" s="134">
        <f t="shared" si="0"/>
        <v>1267</v>
      </c>
      <c r="AX16" s="134">
        <f t="shared" si="0"/>
        <v>0</v>
      </c>
      <c r="AY16" s="134">
        <f t="shared" si="0"/>
        <v>1159</v>
      </c>
      <c r="AZ16" s="134">
        <f t="shared" si="0"/>
        <v>235</v>
      </c>
      <c r="BA16" s="134">
        <f t="shared" si="0"/>
        <v>10</v>
      </c>
      <c r="BB16" s="134">
        <f t="shared" si="0"/>
        <v>468</v>
      </c>
      <c r="BC16" s="134">
        <f t="shared" si="0"/>
        <v>0</v>
      </c>
      <c r="BD16" s="134">
        <f t="shared" si="0"/>
        <v>253278</v>
      </c>
      <c r="BE16" s="134">
        <f t="shared" si="0"/>
        <v>193947</v>
      </c>
      <c r="BF16" s="134">
        <f t="shared" si="0"/>
        <v>411280.51</v>
      </c>
      <c r="BG16" s="134">
        <f t="shared" si="0"/>
        <v>0</v>
      </c>
      <c r="BH16" s="134">
        <f t="shared" si="0"/>
        <v>10340</v>
      </c>
      <c r="BI16" s="134">
        <f t="shared" si="0"/>
        <v>478</v>
      </c>
      <c r="BJ16" s="134">
        <f t="shared" si="0"/>
        <v>3333</v>
      </c>
      <c r="BK16" s="134">
        <f t="shared" si="0"/>
        <v>0</v>
      </c>
      <c r="BL16" s="134">
        <f t="shared" si="0"/>
        <v>183</v>
      </c>
      <c r="BM16" s="134">
        <f t="shared" si="0"/>
        <v>4899</v>
      </c>
      <c r="BN16" s="134">
        <f>SUM(BN3:BN14)</f>
        <v>18</v>
      </c>
    </row>
    <row r="20" spans="1:66" x14ac:dyDescent="0.2">
      <c r="A20" s="26">
        <v>2025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  <c r="BJ20" s="31" t="s">
        <v>53</v>
      </c>
      <c r="BK20" s="31" t="s">
        <v>53</v>
      </c>
      <c r="BL20" s="31" t="s">
        <v>53</v>
      </c>
      <c r="BM20" s="31"/>
      <c r="BN20" s="31"/>
    </row>
    <row r="21" spans="1:66" x14ac:dyDescent="0.2">
      <c r="A21" s="106" t="s">
        <v>59</v>
      </c>
      <c r="E21">
        <v>108.74</v>
      </c>
      <c r="F21">
        <v>373.59</v>
      </c>
      <c r="H21">
        <v>559.45000000000005</v>
      </c>
      <c r="I21">
        <v>1177.6500000000001</v>
      </c>
      <c r="K21">
        <v>235.99</v>
      </c>
      <c r="L21">
        <v>26.05</v>
      </c>
      <c r="M21">
        <v>96.4</v>
      </c>
      <c r="N21">
        <v>19.55</v>
      </c>
      <c r="O21">
        <v>226.84</v>
      </c>
      <c r="P21">
        <v>285.92</v>
      </c>
      <c r="Q21">
        <v>813.49</v>
      </c>
      <c r="R21">
        <v>132.06</v>
      </c>
      <c r="S21">
        <v>840.28</v>
      </c>
      <c r="U21">
        <v>27.17</v>
      </c>
      <c r="V21">
        <v>272.87</v>
      </c>
      <c r="W21">
        <v>23.46</v>
      </c>
      <c r="X21">
        <v>19.68</v>
      </c>
      <c r="Y21">
        <v>1573.17</v>
      </c>
      <c r="Z21">
        <v>480.56</v>
      </c>
      <c r="AA21">
        <v>7282.87</v>
      </c>
      <c r="AB21">
        <v>1697.83</v>
      </c>
      <c r="AC21">
        <v>0</v>
      </c>
      <c r="AD21">
        <v>-53</v>
      </c>
      <c r="AE21">
        <v>19.68</v>
      </c>
      <c r="AF21">
        <v>-6.49</v>
      </c>
      <c r="AG21">
        <v>-6.77</v>
      </c>
      <c r="AH21">
        <v>15.92</v>
      </c>
      <c r="AJ21">
        <v>-6.49</v>
      </c>
      <c r="AL21">
        <v>-6.77</v>
      </c>
      <c r="AM21">
        <v>412.83</v>
      </c>
      <c r="AN21">
        <v>602.73</v>
      </c>
      <c r="AO21">
        <v>-6.49</v>
      </c>
      <c r="AP21">
        <v>394.15</v>
      </c>
      <c r="AQ21">
        <v>47.52</v>
      </c>
      <c r="AR21">
        <v>-6.49</v>
      </c>
      <c r="AS21">
        <v>755.56</v>
      </c>
      <c r="AT21">
        <v>-6.77</v>
      </c>
      <c r="AV21">
        <v>140.78</v>
      </c>
      <c r="AW21">
        <v>388.49</v>
      </c>
      <c r="AX21">
        <v>0</v>
      </c>
      <c r="AY21">
        <v>455.78</v>
      </c>
      <c r="AZ21">
        <v>158.13999999999999</v>
      </c>
      <c r="BA21">
        <v>8.41</v>
      </c>
      <c r="BB21">
        <v>191.55</v>
      </c>
      <c r="BC21">
        <v>18.579999999999998</v>
      </c>
      <c r="BD21">
        <v>8843.18</v>
      </c>
      <c r="BE21">
        <v>7879.2</v>
      </c>
      <c r="BF21">
        <v>10782.33</v>
      </c>
      <c r="BG21">
        <v>-7.43</v>
      </c>
      <c r="BH21">
        <v>3788.99</v>
      </c>
      <c r="BI21">
        <v>0</v>
      </c>
      <c r="BJ21">
        <v>1666.41</v>
      </c>
      <c r="BL21">
        <v>114.61</v>
      </c>
      <c r="BM21">
        <v>1732.6</v>
      </c>
    </row>
    <row r="22" spans="1:66" x14ac:dyDescent="0.2">
      <c r="A22" s="113" t="s">
        <v>42</v>
      </c>
      <c r="E22">
        <v>69.540000000000006</v>
      </c>
      <c r="F22">
        <v>218.89</v>
      </c>
      <c r="H22">
        <v>467.22</v>
      </c>
      <c r="I22">
        <v>1164.07</v>
      </c>
      <c r="K22">
        <v>215.48</v>
      </c>
      <c r="L22">
        <v>27.95</v>
      </c>
      <c r="M22">
        <v>95.55</v>
      </c>
      <c r="N22">
        <v>20.61</v>
      </c>
      <c r="O22">
        <v>183.66</v>
      </c>
      <c r="P22">
        <v>290</v>
      </c>
      <c r="Q22">
        <v>684.06</v>
      </c>
      <c r="R22">
        <v>115.65</v>
      </c>
      <c r="S22">
        <v>584.19000000000005</v>
      </c>
      <c r="U22">
        <v>33.11</v>
      </c>
      <c r="V22">
        <v>388.23</v>
      </c>
      <c r="W22">
        <v>23.46</v>
      </c>
      <c r="X22">
        <v>19.68</v>
      </c>
      <c r="Y22">
        <v>1129.07</v>
      </c>
      <c r="Z22">
        <v>313.66000000000003</v>
      </c>
      <c r="AA22">
        <v>5637.19</v>
      </c>
      <c r="AB22">
        <v>1206.73</v>
      </c>
      <c r="AC22">
        <v>-65.14</v>
      </c>
      <c r="AD22">
        <v>-74.47</v>
      </c>
      <c r="AE22">
        <v>20.79</v>
      </c>
      <c r="AF22">
        <v>-6.49</v>
      </c>
      <c r="AG22">
        <v>-6.77</v>
      </c>
      <c r="AH22">
        <v>8.01</v>
      </c>
      <c r="AJ22">
        <v>-6.49</v>
      </c>
      <c r="AL22">
        <v>-6.77</v>
      </c>
      <c r="AM22">
        <v>198.15</v>
      </c>
      <c r="AN22">
        <v>338.52</v>
      </c>
      <c r="AO22">
        <v>-6.49</v>
      </c>
      <c r="AP22">
        <v>293.64999999999998</v>
      </c>
      <c r="AQ22">
        <v>15.84</v>
      </c>
      <c r="AR22">
        <v>-6.49</v>
      </c>
      <c r="AS22">
        <v>394.57</v>
      </c>
      <c r="AT22">
        <v>-6.77</v>
      </c>
      <c r="AV22">
        <v>113.33</v>
      </c>
      <c r="AW22">
        <v>345.82</v>
      </c>
      <c r="AX22">
        <v>-165.22</v>
      </c>
      <c r="AY22">
        <v>404.51</v>
      </c>
      <c r="AZ22">
        <v>125.15</v>
      </c>
      <c r="BA22">
        <v>0</v>
      </c>
      <c r="BB22">
        <v>153.83000000000001</v>
      </c>
      <c r="BC22">
        <v>20.3</v>
      </c>
      <c r="BD22">
        <v>8177.44</v>
      </c>
      <c r="BE22">
        <v>13005.36</v>
      </c>
      <c r="BF22">
        <v>10206.19</v>
      </c>
      <c r="BG22">
        <v>-7.43</v>
      </c>
      <c r="BH22">
        <v>3162.21</v>
      </c>
      <c r="BI22">
        <v>0</v>
      </c>
      <c r="BJ22">
        <v>1067.28</v>
      </c>
      <c r="BL22">
        <v>111.12</v>
      </c>
      <c r="BM22">
        <v>1316.93</v>
      </c>
    </row>
    <row r="23" spans="1:66" x14ac:dyDescent="0.2">
      <c r="A23" s="113" t="s">
        <v>43</v>
      </c>
      <c r="E23">
        <v>64.97</v>
      </c>
      <c r="F23">
        <v>22.23</v>
      </c>
      <c r="H23">
        <v>222.38</v>
      </c>
      <c r="I23">
        <v>642.66</v>
      </c>
      <c r="K23">
        <v>88.87</v>
      </c>
      <c r="L23">
        <v>26.16</v>
      </c>
      <c r="M23">
        <v>36.99</v>
      </c>
      <c r="N23">
        <v>19.55</v>
      </c>
      <c r="O23">
        <v>92.15</v>
      </c>
      <c r="P23">
        <v>205.72</v>
      </c>
      <c r="Q23">
        <v>212.37</v>
      </c>
      <c r="R23">
        <v>19.55</v>
      </c>
      <c r="S23">
        <v>266.02999999999997</v>
      </c>
      <c r="U23">
        <v>35.29</v>
      </c>
      <c r="V23">
        <v>293.95999999999998</v>
      </c>
      <c r="W23">
        <v>24.52</v>
      </c>
      <c r="X23">
        <v>20.79</v>
      </c>
      <c r="Y23">
        <v>592.78</v>
      </c>
      <c r="Z23">
        <v>97.33</v>
      </c>
      <c r="AA23">
        <v>4969.71</v>
      </c>
      <c r="AB23">
        <v>555.25</v>
      </c>
      <c r="AC23">
        <v>-72.27</v>
      </c>
      <c r="AD23">
        <v>-81.900000000000006</v>
      </c>
      <c r="AE23">
        <v>20.79</v>
      </c>
      <c r="AF23">
        <v>-13.62</v>
      </c>
      <c r="AG23">
        <v>-14.2</v>
      </c>
      <c r="AH23">
        <v>0.88</v>
      </c>
      <c r="AJ23">
        <v>-13.62</v>
      </c>
      <c r="AL23">
        <v>-14.2</v>
      </c>
      <c r="AM23">
        <v>141.19</v>
      </c>
      <c r="AN23">
        <v>75.13</v>
      </c>
      <c r="AO23">
        <v>-13.62</v>
      </c>
      <c r="AP23">
        <v>103.75</v>
      </c>
      <c r="AQ23">
        <v>0.8</v>
      </c>
      <c r="AR23">
        <v>-13.62</v>
      </c>
      <c r="AS23">
        <v>67.989999999999995</v>
      </c>
      <c r="AT23">
        <v>-14.2</v>
      </c>
      <c r="AV23">
        <v>70.77</v>
      </c>
      <c r="AW23">
        <v>244.81</v>
      </c>
      <c r="AX23">
        <v>-172.35</v>
      </c>
      <c r="AY23">
        <v>117.87</v>
      </c>
      <c r="AZ23">
        <v>36.79</v>
      </c>
      <c r="BA23">
        <v>-7.56</v>
      </c>
      <c r="BB23">
        <v>65.69</v>
      </c>
      <c r="BC23">
        <v>-54.51</v>
      </c>
      <c r="BD23">
        <v>8807.9500000000007</v>
      </c>
      <c r="BE23">
        <v>7855.4</v>
      </c>
      <c r="BF23">
        <v>10748.53</v>
      </c>
      <c r="BG23">
        <v>-15.59</v>
      </c>
      <c r="BH23">
        <v>2011.55</v>
      </c>
      <c r="BI23">
        <v>1035.4100000000001</v>
      </c>
      <c r="BJ23">
        <v>52.54</v>
      </c>
      <c r="BL23">
        <v>78.08</v>
      </c>
      <c r="BM23">
        <v>593.21</v>
      </c>
    </row>
    <row r="24" spans="1:66" x14ac:dyDescent="0.2">
      <c r="A24" s="113" t="s">
        <v>44</v>
      </c>
      <c r="E24">
        <v>28.22</v>
      </c>
      <c r="F24">
        <v>18.88</v>
      </c>
      <c r="H24">
        <v>134.88999999999999</v>
      </c>
      <c r="I24">
        <v>360.97</v>
      </c>
      <c r="K24">
        <v>39.14</v>
      </c>
      <c r="L24">
        <v>27.25</v>
      </c>
      <c r="M24">
        <v>20.75</v>
      </c>
      <c r="N24">
        <v>19.55</v>
      </c>
      <c r="O24">
        <v>35.119999999999997</v>
      </c>
      <c r="P24">
        <v>92.37</v>
      </c>
      <c r="Q24">
        <v>37.54</v>
      </c>
      <c r="R24">
        <v>19.55</v>
      </c>
      <c r="S24">
        <v>19.55</v>
      </c>
      <c r="U24">
        <v>27.51</v>
      </c>
      <c r="V24">
        <v>99.69</v>
      </c>
      <c r="W24">
        <v>23.04</v>
      </c>
      <c r="X24">
        <v>19.68</v>
      </c>
      <c r="Y24">
        <v>206.24</v>
      </c>
      <c r="Z24">
        <v>41.33</v>
      </c>
      <c r="AA24">
        <v>2337.46</v>
      </c>
      <c r="AB24">
        <v>213.51</v>
      </c>
      <c r="AC24">
        <v>-72.27</v>
      </c>
      <c r="AD24">
        <v>-89.33</v>
      </c>
      <c r="AE24">
        <v>19.68</v>
      </c>
      <c r="AF24">
        <v>-13.62</v>
      </c>
      <c r="AG24">
        <v>-14.2</v>
      </c>
      <c r="AH24">
        <v>9.6</v>
      </c>
      <c r="AJ24">
        <v>-13.62</v>
      </c>
      <c r="AL24">
        <v>-14.2</v>
      </c>
      <c r="AM24">
        <v>9.92</v>
      </c>
      <c r="AN24">
        <v>19.850000000000001</v>
      </c>
      <c r="AO24">
        <v>-13.62</v>
      </c>
      <c r="AP24">
        <v>28.57</v>
      </c>
      <c r="AQ24">
        <v>0</v>
      </c>
      <c r="AR24">
        <v>-13.62</v>
      </c>
      <c r="AS24">
        <v>40.36</v>
      </c>
      <c r="AT24">
        <v>-14.2</v>
      </c>
      <c r="AV24">
        <v>44.85</v>
      </c>
      <c r="AW24">
        <v>127.19</v>
      </c>
      <c r="AX24">
        <v>-172.35</v>
      </c>
      <c r="AY24">
        <v>44.54</v>
      </c>
      <c r="AZ24">
        <v>46.06</v>
      </c>
      <c r="BA24">
        <v>-7.56</v>
      </c>
      <c r="BB24">
        <v>23.76</v>
      </c>
      <c r="BD24">
        <v>8843.18</v>
      </c>
      <c r="BE24">
        <v>7889.2</v>
      </c>
      <c r="BF24">
        <v>10782.33</v>
      </c>
      <c r="BG24">
        <v>-15.59</v>
      </c>
      <c r="BH24">
        <v>271.23</v>
      </c>
      <c r="BI24">
        <v>169.87</v>
      </c>
      <c r="BJ24">
        <v>30.77</v>
      </c>
      <c r="BL24">
        <v>63.79</v>
      </c>
      <c r="BM24">
        <v>380.31</v>
      </c>
    </row>
    <row r="25" spans="1:66" x14ac:dyDescent="0.2">
      <c r="A25" s="113" t="s">
        <v>45</v>
      </c>
      <c r="E25">
        <v>24.91</v>
      </c>
      <c r="F25">
        <v>17.8</v>
      </c>
      <c r="H25">
        <v>29.92</v>
      </c>
      <c r="I25">
        <v>27.49</v>
      </c>
      <c r="K25">
        <v>19.12</v>
      </c>
      <c r="L25">
        <v>26.16</v>
      </c>
      <c r="M25">
        <v>19.59</v>
      </c>
      <c r="N25">
        <v>19.55</v>
      </c>
      <c r="O25">
        <v>19.89</v>
      </c>
      <c r="P25">
        <v>81.040000000000006</v>
      </c>
      <c r="Q25">
        <v>18.23</v>
      </c>
      <c r="R25">
        <v>19.260000000000002</v>
      </c>
      <c r="S25">
        <v>22.53</v>
      </c>
      <c r="U25">
        <v>18.25</v>
      </c>
      <c r="V25">
        <v>43.46</v>
      </c>
      <c r="W25">
        <v>21.99</v>
      </c>
      <c r="X25">
        <v>19.68</v>
      </c>
      <c r="Y25">
        <v>44.17</v>
      </c>
      <c r="Z25">
        <v>23.81</v>
      </c>
      <c r="AA25">
        <v>368.01</v>
      </c>
      <c r="AB25">
        <v>90.8</v>
      </c>
      <c r="AC25">
        <v>-72.27</v>
      </c>
      <c r="AD25">
        <v>-89.33</v>
      </c>
      <c r="AE25">
        <v>19.68</v>
      </c>
      <c r="AF25">
        <v>-13.62</v>
      </c>
      <c r="AG25">
        <v>-14.2</v>
      </c>
      <c r="AH25">
        <v>0</v>
      </c>
      <c r="AJ25">
        <v>-13.62</v>
      </c>
      <c r="AL25">
        <v>-14.2</v>
      </c>
      <c r="AM25">
        <v>19.850000000000001</v>
      </c>
      <c r="AN25">
        <v>0</v>
      </c>
      <c r="AO25">
        <v>-13.62</v>
      </c>
      <c r="AP25">
        <v>0</v>
      </c>
      <c r="AQ25">
        <v>0</v>
      </c>
      <c r="AR25">
        <v>-13.62</v>
      </c>
      <c r="AS25">
        <v>0</v>
      </c>
      <c r="AT25">
        <v>-14.2</v>
      </c>
      <c r="AV25">
        <v>36.049999999999997</v>
      </c>
      <c r="AW25">
        <v>27.24</v>
      </c>
      <c r="AX25">
        <v>-172.35</v>
      </c>
      <c r="AY25">
        <v>19.75</v>
      </c>
      <c r="AZ25">
        <v>30.42</v>
      </c>
      <c r="BA25">
        <v>-7.56</v>
      </c>
      <c r="BB25">
        <v>19.09</v>
      </c>
      <c r="BD25">
        <v>8843.18</v>
      </c>
      <c r="BE25">
        <v>7889.2</v>
      </c>
      <c r="BF25">
        <v>10782.33</v>
      </c>
      <c r="BG25">
        <v>-15.59</v>
      </c>
      <c r="BH25">
        <v>47.17</v>
      </c>
      <c r="BI25">
        <v>61.34</v>
      </c>
      <c r="BJ25">
        <v>27.26</v>
      </c>
      <c r="BL25">
        <v>22.04</v>
      </c>
      <c r="BM25">
        <v>347.79</v>
      </c>
      <c r="BN25">
        <v>2855.01</v>
      </c>
    </row>
    <row r="26" spans="1:66" x14ac:dyDescent="0.2">
      <c r="A26" s="113" t="s">
        <v>46</v>
      </c>
      <c r="E26">
        <v>25.1</v>
      </c>
      <c r="F26">
        <v>18.88</v>
      </c>
      <c r="H26">
        <v>29.42</v>
      </c>
      <c r="I26">
        <v>19.68</v>
      </c>
      <c r="K26">
        <v>19.68</v>
      </c>
      <c r="L26">
        <v>24.03</v>
      </c>
      <c r="M26">
        <v>19.68</v>
      </c>
      <c r="N26">
        <v>19.55</v>
      </c>
      <c r="O26">
        <v>19.55</v>
      </c>
      <c r="P26">
        <v>90.13</v>
      </c>
      <c r="Q26">
        <v>19.899999999999999</v>
      </c>
      <c r="R26">
        <v>19.55</v>
      </c>
      <c r="S26">
        <v>19.55</v>
      </c>
      <c r="U26">
        <v>20.11</v>
      </c>
      <c r="V26">
        <v>19.579999999999998</v>
      </c>
      <c r="W26">
        <v>20.95</v>
      </c>
      <c r="X26">
        <v>19.68</v>
      </c>
      <c r="Y26">
        <v>27.86</v>
      </c>
      <c r="Z26">
        <v>19.55</v>
      </c>
      <c r="AA26" t="s">
        <v>152</v>
      </c>
      <c r="AB26">
        <v>75.63</v>
      </c>
      <c r="AC26">
        <v>-72.27</v>
      </c>
      <c r="AD26">
        <v>-89.33</v>
      </c>
      <c r="AE26">
        <v>19.68</v>
      </c>
      <c r="AF26">
        <v>-13.62</v>
      </c>
      <c r="AG26">
        <v>-14.2</v>
      </c>
      <c r="AH26">
        <v>0</v>
      </c>
      <c r="AJ26">
        <v>-13.62</v>
      </c>
      <c r="AL26">
        <v>-14.2</v>
      </c>
      <c r="AM26">
        <v>9.92</v>
      </c>
      <c r="AN26">
        <v>0</v>
      </c>
      <c r="AO26">
        <v>-13.62</v>
      </c>
      <c r="AP26">
        <v>0</v>
      </c>
      <c r="AQ26">
        <v>0</v>
      </c>
      <c r="AR26">
        <v>-13.62</v>
      </c>
      <c r="AS26">
        <v>0</v>
      </c>
      <c r="AT26">
        <v>-4.28</v>
      </c>
      <c r="AV26">
        <v>30.66</v>
      </c>
      <c r="AW26">
        <v>20.75</v>
      </c>
      <c r="AX26">
        <v>-172.35</v>
      </c>
      <c r="AY26">
        <v>19.68</v>
      </c>
      <c r="AZ26">
        <v>34.99</v>
      </c>
      <c r="BA26">
        <v>-7.56</v>
      </c>
      <c r="BB26">
        <v>19.600000000000001</v>
      </c>
      <c r="BD26">
        <v>8878.11</v>
      </c>
      <c r="BE26">
        <v>7912.84</v>
      </c>
      <c r="BF26">
        <v>10829.37</v>
      </c>
      <c r="BG26">
        <v>-15.59</v>
      </c>
      <c r="BH26">
        <v>21.36</v>
      </c>
      <c r="BI26">
        <v>25.13</v>
      </c>
      <c r="BJ26">
        <v>28.48</v>
      </c>
      <c r="BL26">
        <v>20.03</v>
      </c>
      <c r="BM26">
        <v>194.06</v>
      </c>
    </row>
    <row r="27" spans="1:66" x14ac:dyDescent="0.2">
      <c r="A27" s="113" t="s">
        <v>47</v>
      </c>
      <c r="E27">
        <v>22</v>
      </c>
      <c r="F27">
        <v>18.88</v>
      </c>
      <c r="H27">
        <v>31.61</v>
      </c>
      <c r="I27">
        <v>19.68</v>
      </c>
      <c r="K27">
        <v>19.68</v>
      </c>
      <c r="L27">
        <v>27.27</v>
      </c>
      <c r="M27">
        <v>19.68</v>
      </c>
      <c r="N27">
        <v>19.55</v>
      </c>
      <c r="O27">
        <v>19.55</v>
      </c>
      <c r="P27">
        <v>77.180000000000007</v>
      </c>
      <c r="Q27">
        <v>19.899999999999999</v>
      </c>
      <c r="R27">
        <v>19.55</v>
      </c>
      <c r="S27">
        <v>26.83</v>
      </c>
      <c r="U27">
        <v>23.82</v>
      </c>
      <c r="V27">
        <v>19.68</v>
      </c>
      <c r="W27">
        <v>21.99</v>
      </c>
      <c r="X27">
        <v>19.68</v>
      </c>
      <c r="Y27">
        <v>28.91</v>
      </c>
      <c r="Z27">
        <v>20.57</v>
      </c>
      <c r="AA27">
        <v>416.77</v>
      </c>
      <c r="AB27">
        <v>80.87</v>
      </c>
      <c r="AC27">
        <v>-72.27</v>
      </c>
      <c r="AD27">
        <v>-89.33</v>
      </c>
      <c r="AE27">
        <v>19.68</v>
      </c>
      <c r="AF27">
        <v>-13.62</v>
      </c>
      <c r="AG27">
        <v>-14.2</v>
      </c>
      <c r="AH27">
        <v>0</v>
      </c>
      <c r="AJ27">
        <v>-13.62</v>
      </c>
      <c r="AL27">
        <v>-14.2</v>
      </c>
      <c r="AM27">
        <v>19.87</v>
      </c>
      <c r="AN27">
        <v>0</v>
      </c>
      <c r="AO27">
        <v>-4.09</v>
      </c>
      <c r="AP27">
        <v>0</v>
      </c>
      <c r="AQ27">
        <v>200.09</v>
      </c>
      <c r="AR27">
        <v>-13.62</v>
      </c>
      <c r="AS27">
        <v>0</v>
      </c>
      <c r="AT27">
        <v>-4.28</v>
      </c>
      <c r="AV27">
        <v>32.479999999999997</v>
      </c>
      <c r="AW27">
        <v>22.92</v>
      </c>
      <c r="AX27">
        <v>-172.35</v>
      </c>
      <c r="AY27">
        <v>19.68</v>
      </c>
      <c r="AZ27">
        <v>33.159999999999997</v>
      </c>
      <c r="BA27">
        <v>-7.56</v>
      </c>
      <c r="BD27">
        <v>8931.51</v>
      </c>
      <c r="BE27">
        <v>7935.27</v>
      </c>
      <c r="BF27">
        <v>10960.44</v>
      </c>
      <c r="BG27">
        <v>-4.6900000000000004</v>
      </c>
      <c r="BH27">
        <v>21.36</v>
      </c>
      <c r="BI27">
        <v>21.57</v>
      </c>
      <c r="BJ27">
        <v>27.35</v>
      </c>
      <c r="BL27">
        <v>20.03</v>
      </c>
      <c r="BM27">
        <v>167.14</v>
      </c>
    </row>
    <row r="28" spans="1:66" x14ac:dyDescent="0.2">
      <c r="A28" s="113" t="s">
        <v>48</v>
      </c>
      <c r="P28">
        <v>64.12</v>
      </c>
      <c r="U28">
        <v>25.71</v>
      </c>
      <c r="V28">
        <v>19.68</v>
      </c>
      <c r="X28">
        <v>30.51</v>
      </c>
      <c r="AC28">
        <v>-72.27</v>
      </c>
    </row>
    <row r="29" spans="1:66" x14ac:dyDescent="0.2">
      <c r="A29" s="113" t="s">
        <v>49</v>
      </c>
    </row>
    <row r="30" spans="1:66" x14ac:dyDescent="0.2">
      <c r="A30" s="113" t="s">
        <v>50</v>
      </c>
    </row>
    <row r="31" spans="1:66" x14ac:dyDescent="0.2">
      <c r="A31" s="113" t="s">
        <v>51</v>
      </c>
    </row>
    <row r="32" spans="1:66" x14ac:dyDescent="0.2">
      <c r="A32" s="113" t="s">
        <v>52</v>
      </c>
    </row>
    <row r="33" spans="1:66" ht="13.5" thickBot="1" x14ac:dyDescent="0.25">
      <c r="A33" s="106" t="s">
        <v>58</v>
      </c>
      <c r="B33" s="116">
        <f>SUM(B21:B32)</f>
        <v>0</v>
      </c>
      <c r="C33" s="116">
        <f>SUM(C21:C32)</f>
        <v>0</v>
      </c>
      <c r="D33" s="116"/>
      <c r="E33" s="116">
        <f t="shared" ref="E33:BM33" si="1">SUM(E21:E32)</f>
        <v>343.48000000000008</v>
      </c>
      <c r="F33" s="116">
        <f t="shared" si="1"/>
        <v>689.15</v>
      </c>
      <c r="G33" s="117">
        <f t="shared" si="1"/>
        <v>0</v>
      </c>
      <c r="H33" s="116">
        <f t="shared" si="1"/>
        <v>1474.89</v>
      </c>
      <c r="I33" s="117">
        <f t="shared" si="1"/>
        <v>3412.2</v>
      </c>
      <c r="J33" s="118">
        <f t="shared" si="1"/>
        <v>0</v>
      </c>
      <c r="K33" s="117">
        <f t="shared" si="1"/>
        <v>637.95999999999992</v>
      </c>
      <c r="L33" s="117">
        <f t="shared" si="1"/>
        <v>184.87</v>
      </c>
      <c r="M33" s="117">
        <f t="shared" si="1"/>
        <v>308.64</v>
      </c>
      <c r="N33" s="117">
        <f t="shared" si="1"/>
        <v>137.91</v>
      </c>
      <c r="O33" s="119">
        <f t="shared" si="1"/>
        <v>596.75999999999988</v>
      </c>
      <c r="P33" s="117">
        <f t="shared" si="1"/>
        <v>1186.48</v>
      </c>
      <c r="Q33" s="119">
        <f t="shared" si="1"/>
        <v>1805.4900000000002</v>
      </c>
      <c r="R33" s="119">
        <f t="shared" si="1"/>
        <v>345.17</v>
      </c>
      <c r="S33" s="119">
        <f t="shared" si="1"/>
        <v>1778.9599999999998</v>
      </c>
      <c r="T33" s="117">
        <f t="shared" si="1"/>
        <v>0</v>
      </c>
      <c r="U33" s="119">
        <f t="shared" si="1"/>
        <v>210.97</v>
      </c>
      <c r="V33" s="119">
        <f t="shared" si="1"/>
        <v>1157.1500000000001</v>
      </c>
      <c r="W33" s="117">
        <f t="shared" si="1"/>
        <v>159.41</v>
      </c>
      <c r="X33" s="119">
        <f t="shared" si="1"/>
        <v>169.38</v>
      </c>
      <c r="Y33" s="119">
        <f t="shared" si="1"/>
        <v>3602.1999999999994</v>
      </c>
      <c r="Z33" s="119">
        <f t="shared" si="1"/>
        <v>996.81000000000006</v>
      </c>
      <c r="AA33" s="119">
        <f t="shared" si="1"/>
        <v>21012.01</v>
      </c>
      <c r="AB33" s="119">
        <f t="shared" si="1"/>
        <v>3920.62</v>
      </c>
      <c r="AC33" s="119">
        <f>SUM(AC21:AC32)</f>
        <v>-498.75999999999993</v>
      </c>
      <c r="AD33" s="119">
        <f>SUM(AD21:AD32)</f>
        <v>-566.68999999999994</v>
      </c>
      <c r="AE33" s="119"/>
      <c r="AF33" s="119">
        <f>SUM(AF21:AF32)</f>
        <v>-81.08</v>
      </c>
      <c r="AG33" s="119">
        <f>SUM(AG21:AG32)</f>
        <v>-84.54</v>
      </c>
      <c r="AH33" s="119">
        <f>SUM(AH21:AH32)</f>
        <v>34.409999999999997</v>
      </c>
      <c r="AI33" s="119">
        <f>SUM(AI21:AI32)</f>
        <v>0</v>
      </c>
      <c r="AJ33" s="119">
        <f>SUM(AJ21:AJ32)</f>
        <v>-81.08</v>
      </c>
      <c r="AK33" s="119">
        <f t="shared" si="1"/>
        <v>0</v>
      </c>
      <c r="AL33" s="119">
        <f t="shared" si="1"/>
        <v>-84.54</v>
      </c>
      <c r="AM33" s="117">
        <f t="shared" si="1"/>
        <v>811.73</v>
      </c>
      <c r="AN33" s="117">
        <f t="shared" si="1"/>
        <v>1036.23</v>
      </c>
      <c r="AO33" s="119">
        <f t="shared" si="1"/>
        <v>-71.55</v>
      </c>
      <c r="AP33" s="119">
        <f t="shared" si="1"/>
        <v>820.12</v>
      </c>
      <c r="AQ33" s="119">
        <f t="shared" si="1"/>
        <v>264.25</v>
      </c>
      <c r="AR33" s="119">
        <f t="shared" si="1"/>
        <v>-81.08</v>
      </c>
      <c r="AS33" s="119">
        <f t="shared" si="1"/>
        <v>1258.4799999999998</v>
      </c>
      <c r="AT33" s="119">
        <f t="shared" si="1"/>
        <v>-64.7</v>
      </c>
      <c r="AU33" s="119">
        <f t="shared" si="1"/>
        <v>0</v>
      </c>
      <c r="AV33" s="119">
        <f t="shared" si="1"/>
        <v>468.92000000000007</v>
      </c>
      <c r="AW33" s="119">
        <f t="shared" si="1"/>
        <v>1177.22</v>
      </c>
      <c r="AX33" s="119">
        <f>SUM(AX21:AX32)</f>
        <v>-1026.97</v>
      </c>
      <c r="AY33" s="119">
        <f t="shared" si="1"/>
        <v>1081.81</v>
      </c>
      <c r="AZ33" s="119">
        <f t="shared" si="1"/>
        <v>464.71000000000004</v>
      </c>
      <c r="BA33" s="119">
        <f t="shared" si="1"/>
        <v>-29.389999999999997</v>
      </c>
      <c r="BB33" s="119">
        <f t="shared" si="1"/>
        <v>473.52</v>
      </c>
      <c r="BC33" s="119">
        <f t="shared" si="1"/>
        <v>-15.630000000000003</v>
      </c>
      <c r="BD33" s="119">
        <f t="shared" si="1"/>
        <v>61324.55</v>
      </c>
      <c r="BE33" s="119">
        <f t="shared" si="1"/>
        <v>60366.47</v>
      </c>
      <c r="BF33" s="119">
        <f t="shared" si="1"/>
        <v>75091.520000000004</v>
      </c>
      <c r="BG33" s="119">
        <f t="shared" si="1"/>
        <v>-81.91</v>
      </c>
      <c r="BH33" s="119">
        <f t="shared" si="1"/>
        <v>9323.8700000000008</v>
      </c>
      <c r="BI33" s="119">
        <f t="shared" si="1"/>
        <v>1313.3200000000002</v>
      </c>
      <c r="BJ33" s="119">
        <f t="shared" si="1"/>
        <v>2900.09</v>
      </c>
      <c r="BK33" s="119">
        <f t="shared" si="1"/>
        <v>0</v>
      </c>
      <c r="BL33" s="119">
        <f t="shared" si="1"/>
        <v>429.70000000000005</v>
      </c>
      <c r="BM33" s="119">
        <f t="shared" si="1"/>
        <v>4732.0400000000009</v>
      </c>
      <c r="BN33" s="119">
        <f>SUM(BN21:BN32)</f>
        <v>2855.01</v>
      </c>
    </row>
    <row r="34" spans="1:66" ht="13.5" thickTop="1" x14ac:dyDescent="0.2">
      <c r="A34" s="120"/>
      <c r="B34" s="120" t="str">
        <f t="shared" ref="B34:AY34" si="2">IF(B16=0,"",(B33/B16))</f>
        <v/>
      </c>
      <c r="C34" s="120" t="str">
        <f t="shared" si="2"/>
        <v/>
      </c>
      <c r="D34" s="120" t="str">
        <f t="shared" si="2"/>
        <v/>
      </c>
      <c r="E34" s="120">
        <f t="shared" si="2"/>
        <v>1.2864419475655433</v>
      </c>
      <c r="F34" s="120">
        <f t="shared" si="2"/>
        <v>0.93002699055330629</v>
      </c>
      <c r="G34" s="120" t="str">
        <f t="shared" si="2"/>
        <v/>
      </c>
      <c r="H34" s="120">
        <f t="shared" si="2"/>
        <v>0.89987187309334971</v>
      </c>
      <c r="I34" s="120">
        <f t="shared" si="2"/>
        <v>0.85241069198101416</v>
      </c>
      <c r="J34" s="120" t="str">
        <f t="shared" si="2"/>
        <v/>
      </c>
      <c r="K34" s="120">
        <f t="shared" si="2"/>
        <v>1.0544793388429752</v>
      </c>
      <c r="L34" s="120">
        <f t="shared" si="2"/>
        <v>3.9334042553191488</v>
      </c>
      <c r="M34" s="120">
        <f t="shared" si="2"/>
        <v>1.4838461538461538</v>
      </c>
      <c r="N34" s="120" t="str">
        <f t="shared" si="2"/>
        <v/>
      </c>
      <c r="O34" s="120">
        <f t="shared" si="2"/>
        <v>1.0342461005199304</v>
      </c>
      <c r="P34" s="120">
        <f t="shared" si="2"/>
        <v>1.5990296495956873</v>
      </c>
      <c r="Q34" s="120">
        <f t="shared" si="2"/>
        <v>0.84289915966386564</v>
      </c>
      <c r="R34" s="120">
        <f t="shared" si="2"/>
        <v>1.2597445255474453</v>
      </c>
      <c r="S34" s="120">
        <f t="shared" si="2"/>
        <v>0.85898599710284873</v>
      </c>
      <c r="T34" s="120" t="str">
        <f t="shared" si="2"/>
        <v/>
      </c>
      <c r="U34" s="120">
        <f t="shared" si="2"/>
        <v>5.2742500000000003</v>
      </c>
      <c r="V34" s="120">
        <f t="shared" si="2"/>
        <v>0.94538398692810466</v>
      </c>
      <c r="W34" s="120">
        <f t="shared" si="2"/>
        <v>5.3136666666666663</v>
      </c>
      <c r="X34" s="120">
        <f t="shared" si="2"/>
        <v>16.937999999999999</v>
      </c>
      <c r="Y34" s="120">
        <f t="shared" si="2"/>
        <v>0.83403565640194477</v>
      </c>
      <c r="Z34" s="120">
        <f t="shared" si="2"/>
        <v>0.90290760869565223</v>
      </c>
      <c r="AA34" s="120">
        <f t="shared" si="2"/>
        <v>0.82578148948712904</v>
      </c>
      <c r="AB34" s="120">
        <f t="shared" si="2"/>
        <v>0.83971300064253585</v>
      </c>
      <c r="AC34" s="120" t="str">
        <f t="shared" si="2"/>
        <v/>
      </c>
      <c r="AD34" s="120">
        <f t="shared" si="2"/>
        <v>-21.795769230769228</v>
      </c>
      <c r="AE34" s="120" t="str">
        <f t="shared" si="2"/>
        <v/>
      </c>
      <c r="AF34" s="120" t="str">
        <f t="shared" si="2"/>
        <v/>
      </c>
      <c r="AG34" s="120" t="str">
        <f t="shared" si="2"/>
        <v/>
      </c>
      <c r="AH34" s="120">
        <f t="shared" si="2"/>
        <v>0.68819999999999992</v>
      </c>
      <c r="AI34" s="120" t="str">
        <f t="shared" si="2"/>
        <v/>
      </c>
      <c r="AJ34" s="120" t="str">
        <f t="shared" si="2"/>
        <v/>
      </c>
      <c r="AK34" s="120" t="str">
        <f t="shared" si="2"/>
        <v/>
      </c>
      <c r="AL34" s="120" t="str">
        <f t="shared" si="2"/>
        <v/>
      </c>
      <c r="AM34" s="120">
        <f t="shared" si="2"/>
        <v>0.82829591836734695</v>
      </c>
      <c r="AN34" s="120">
        <f t="shared" si="2"/>
        <v>0.82240476190476197</v>
      </c>
      <c r="AO34" s="120">
        <f t="shared" si="2"/>
        <v>-7.1549999999999994</v>
      </c>
      <c r="AP34" s="120">
        <f t="shared" si="2"/>
        <v>0.79623300970873789</v>
      </c>
      <c r="AQ34" s="120">
        <f t="shared" si="2"/>
        <v>0.88083333333333336</v>
      </c>
      <c r="AR34" s="120" t="str">
        <f t="shared" si="2"/>
        <v/>
      </c>
      <c r="AS34" s="120">
        <f t="shared" si="2"/>
        <v>0.83898666666666655</v>
      </c>
      <c r="AT34" s="120">
        <f t="shared" si="2"/>
        <v>-6.4700000000000006</v>
      </c>
      <c r="AU34" s="120" t="str">
        <f t="shared" si="2"/>
        <v/>
      </c>
      <c r="AV34" s="120">
        <f t="shared" si="2"/>
        <v>1.9702521008403364</v>
      </c>
      <c r="AW34" s="120">
        <f t="shared" si="2"/>
        <v>0.92913970007892666</v>
      </c>
      <c r="AX34" s="120" t="str">
        <f t="shared" si="2"/>
        <v/>
      </c>
      <c r="AY34" s="120">
        <f t="shared" si="2"/>
        <v>0.93339948231233816</v>
      </c>
      <c r="AZ34" s="120"/>
      <c r="BA34" s="120"/>
      <c r="BB34" s="120"/>
      <c r="BC34" s="120"/>
      <c r="BD34" s="12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"/>
  <sheetViews>
    <sheetView topLeftCell="A10" workbookViewId="0">
      <selection activeCell="B13" sqref="B13"/>
    </sheetView>
  </sheetViews>
  <sheetFormatPr defaultRowHeight="12.75" x14ac:dyDescent="0.2"/>
  <cols>
    <col min="1" max="1" width="18" customWidth="1"/>
    <col min="6" max="6" width="10.85546875" customWidth="1"/>
    <col min="33" max="33" width="11.140625" customWidth="1"/>
    <col min="34" max="34" width="12.140625" customWidth="1"/>
    <col min="39" max="39" width="10.85546875" customWidth="1"/>
    <col min="40" max="40" width="11.42578125" customWidth="1"/>
    <col min="41" max="41" width="11.28515625" customWidth="1"/>
    <col min="42" max="42" width="11" customWidth="1"/>
    <col min="53" max="53" width="11" customWidth="1"/>
    <col min="55" max="55" width="12.5703125" customWidth="1"/>
  </cols>
  <sheetData>
    <row r="1" spans="1:55" x14ac:dyDescent="0.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V1" s="3"/>
      <c r="X1" s="2"/>
      <c r="Y1" s="3"/>
      <c r="AA1" s="2"/>
      <c r="AB1" s="3"/>
      <c r="AD1" s="2"/>
      <c r="AE1" s="2"/>
      <c r="AF1" s="2"/>
      <c r="AG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5" x14ac:dyDescent="0.2">
      <c r="A2" s="1" t="s">
        <v>64</v>
      </c>
      <c r="B2" s="47">
        <v>594386</v>
      </c>
      <c r="C2" s="26">
        <v>1588956</v>
      </c>
      <c r="D2" s="26"/>
      <c r="E2" s="48">
        <v>33513</v>
      </c>
      <c r="F2" s="48">
        <v>33514</v>
      </c>
      <c r="G2" s="48">
        <v>105744</v>
      </c>
      <c r="H2" s="49">
        <v>263686</v>
      </c>
      <c r="I2" s="26">
        <v>263691</v>
      </c>
      <c r="J2" s="48">
        <v>263754</v>
      </c>
      <c r="K2" s="48">
        <v>539243</v>
      </c>
      <c r="L2" s="26">
        <v>539246</v>
      </c>
      <c r="M2" s="26">
        <v>574126</v>
      </c>
      <c r="N2" s="26">
        <v>637887</v>
      </c>
      <c r="O2" s="26">
        <v>637888</v>
      </c>
      <c r="P2" s="26">
        <v>637889</v>
      </c>
      <c r="Q2" s="26">
        <v>637890</v>
      </c>
      <c r="R2" s="26">
        <v>637892</v>
      </c>
      <c r="S2" s="26">
        <v>647598</v>
      </c>
      <c r="T2" s="26">
        <v>647856</v>
      </c>
      <c r="U2" s="26">
        <v>687022</v>
      </c>
      <c r="V2" s="26">
        <v>687023</v>
      </c>
      <c r="W2" s="26">
        <v>687831</v>
      </c>
      <c r="X2" s="26">
        <v>740818</v>
      </c>
      <c r="Y2" s="26">
        <v>740824</v>
      </c>
      <c r="Z2" s="26">
        <v>740838</v>
      </c>
      <c r="AA2" s="26">
        <v>740876</v>
      </c>
      <c r="AB2" s="26">
        <v>740882</v>
      </c>
      <c r="AC2" s="50">
        <v>741089</v>
      </c>
      <c r="AD2" s="50">
        <v>742815</v>
      </c>
      <c r="AE2" s="26">
        <v>742950</v>
      </c>
      <c r="AF2" s="50">
        <v>749325</v>
      </c>
      <c r="AG2" s="51">
        <v>749330</v>
      </c>
      <c r="AH2" s="50">
        <v>749334</v>
      </c>
      <c r="AI2" s="52">
        <v>749339</v>
      </c>
      <c r="AJ2" s="53">
        <v>762803</v>
      </c>
      <c r="AK2" s="54">
        <v>765933</v>
      </c>
      <c r="AL2" s="53">
        <v>868849</v>
      </c>
      <c r="AM2" s="53">
        <v>869044</v>
      </c>
      <c r="AN2" s="53">
        <v>869127</v>
      </c>
      <c r="AO2" s="53">
        <v>869308</v>
      </c>
      <c r="AP2" s="53">
        <v>869309</v>
      </c>
      <c r="AQ2" s="53">
        <v>869446</v>
      </c>
      <c r="AR2" s="53">
        <v>888353</v>
      </c>
      <c r="AS2" s="53">
        <v>888354</v>
      </c>
      <c r="AT2" s="53">
        <v>888355</v>
      </c>
      <c r="AU2" s="48">
        <v>1060882</v>
      </c>
      <c r="AV2" s="26">
        <v>1064052</v>
      </c>
      <c r="AW2" s="7" t="s">
        <v>2</v>
      </c>
      <c r="AX2" s="44">
        <v>672937</v>
      </c>
      <c r="AY2" s="7">
        <v>1342205</v>
      </c>
      <c r="AZ2" s="7">
        <v>3452105</v>
      </c>
      <c r="BA2" s="7">
        <v>9224993</v>
      </c>
      <c r="BB2" s="7">
        <v>10471</v>
      </c>
      <c r="BC2" s="1"/>
    </row>
    <row r="3" spans="1:55" ht="51" x14ac:dyDescent="0.2">
      <c r="A3" s="99">
        <v>2013</v>
      </c>
      <c r="B3" s="100" t="s">
        <v>3</v>
      </c>
      <c r="C3" s="100" t="s">
        <v>3</v>
      </c>
      <c r="D3" s="100" t="s">
        <v>3</v>
      </c>
      <c r="E3" s="101" t="s">
        <v>4</v>
      </c>
      <c r="F3" s="101" t="s">
        <v>4</v>
      </c>
      <c r="G3" s="101" t="s">
        <v>5</v>
      </c>
      <c r="H3" s="101" t="s">
        <v>6</v>
      </c>
      <c r="I3" s="101" t="s">
        <v>6</v>
      </c>
      <c r="J3" s="101" t="s">
        <v>6</v>
      </c>
      <c r="K3" s="101" t="s">
        <v>68</v>
      </c>
      <c r="L3" s="101" t="s">
        <v>8</v>
      </c>
      <c r="M3" s="101" t="s">
        <v>67</v>
      </c>
      <c r="N3" s="101" t="s">
        <v>10</v>
      </c>
      <c r="O3" s="101" t="s">
        <v>66</v>
      </c>
      <c r="P3" s="101" t="s">
        <v>65</v>
      </c>
      <c r="Q3" s="101" t="s">
        <v>63</v>
      </c>
      <c r="R3" s="101" t="s">
        <v>69</v>
      </c>
      <c r="S3" s="102" t="s">
        <v>15</v>
      </c>
      <c r="T3" s="101" t="s">
        <v>70</v>
      </c>
      <c r="U3" s="101" t="s">
        <v>71</v>
      </c>
      <c r="V3" s="101" t="s">
        <v>72</v>
      </c>
      <c r="W3" s="121" t="s">
        <v>19</v>
      </c>
      <c r="X3" s="101" t="s">
        <v>20</v>
      </c>
      <c r="Y3" s="101" t="s">
        <v>73</v>
      </c>
      <c r="Z3" s="101" t="s">
        <v>74</v>
      </c>
      <c r="AA3" s="102" t="s">
        <v>23</v>
      </c>
      <c r="AB3" s="101" t="s">
        <v>24</v>
      </c>
      <c r="AC3" s="101" t="s">
        <v>25</v>
      </c>
      <c r="AD3" s="101" t="s">
        <v>26</v>
      </c>
      <c r="AE3" s="101" t="s">
        <v>26</v>
      </c>
      <c r="AF3" s="101" t="s">
        <v>27</v>
      </c>
      <c r="AG3" s="101" t="s">
        <v>55</v>
      </c>
      <c r="AH3" s="101" t="s">
        <v>28</v>
      </c>
      <c r="AI3" s="103" t="s">
        <v>29</v>
      </c>
      <c r="AJ3" s="101" t="s">
        <v>19</v>
      </c>
      <c r="AK3" s="102" t="s">
        <v>30</v>
      </c>
      <c r="AL3" s="101" t="s">
        <v>4</v>
      </c>
      <c r="AM3" s="102" t="s">
        <v>31</v>
      </c>
      <c r="AN3" s="101" t="s">
        <v>32</v>
      </c>
      <c r="AO3" s="101" t="s">
        <v>5</v>
      </c>
      <c r="AP3" s="101" t="s">
        <v>33</v>
      </c>
      <c r="AQ3" s="101" t="s">
        <v>34</v>
      </c>
      <c r="AR3" s="101" t="s">
        <v>56</v>
      </c>
      <c r="AS3" s="101" t="s">
        <v>35</v>
      </c>
      <c r="AT3" s="101" t="s">
        <v>36</v>
      </c>
      <c r="AU3" s="101" t="s">
        <v>37</v>
      </c>
      <c r="AV3" s="104" t="s">
        <v>38</v>
      </c>
      <c r="AW3" s="85" t="s">
        <v>39</v>
      </c>
      <c r="AX3" s="104" t="s">
        <v>57</v>
      </c>
      <c r="AY3" s="104" t="s">
        <v>40</v>
      </c>
      <c r="AZ3" s="105" t="s">
        <v>75</v>
      </c>
      <c r="BA3" s="105" t="s">
        <v>76</v>
      </c>
      <c r="BB3" s="105" t="s">
        <v>77</v>
      </c>
      <c r="BC3" s="105"/>
    </row>
    <row r="4" spans="1:55" x14ac:dyDescent="0.2">
      <c r="A4" s="26" t="s">
        <v>59</v>
      </c>
      <c r="C4">
        <v>99</v>
      </c>
      <c r="E4">
        <v>15</v>
      </c>
      <c r="F4">
        <v>514</v>
      </c>
      <c r="H4">
        <v>357</v>
      </c>
      <c r="I4">
        <v>755</v>
      </c>
      <c r="K4">
        <v>219</v>
      </c>
      <c r="L4">
        <v>10</v>
      </c>
      <c r="M4">
        <v>380</v>
      </c>
      <c r="N4">
        <v>84</v>
      </c>
      <c r="O4">
        <v>200</v>
      </c>
      <c r="P4">
        <v>104</v>
      </c>
      <c r="Q4">
        <v>789</v>
      </c>
      <c r="R4">
        <v>156</v>
      </c>
      <c r="S4">
        <v>730</v>
      </c>
      <c r="U4">
        <v>13</v>
      </c>
      <c r="V4">
        <v>409</v>
      </c>
      <c r="W4">
        <v>80</v>
      </c>
      <c r="X4">
        <v>0</v>
      </c>
      <c r="Y4">
        <v>1985</v>
      </c>
      <c r="Z4">
        <v>319</v>
      </c>
      <c r="AA4">
        <v>4375</v>
      </c>
      <c r="AB4">
        <v>2034</v>
      </c>
      <c r="AC4">
        <v>0</v>
      </c>
      <c r="AD4">
        <v>0</v>
      </c>
      <c r="AE4">
        <v>255</v>
      </c>
      <c r="AF4">
        <v>0</v>
      </c>
      <c r="AG4">
        <v>0</v>
      </c>
      <c r="AH4">
        <v>0</v>
      </c>
      <c r="AJ4">
        <v>204</v>
      </c>
      <c r="AL4">
        <v>0</v>
      </c>
      <c r="AM4">
        <v>0</v>
      </c>
      <c r="AN4">
        <v>541</v>
      </c>
      <c r="AO4">
        <v>0</v>
      </c>
      <c r="AP4">
        <v>65</v>
      </c>
      <c r="AQ4">
        <v>338</v>
      </c>
      <c r="AR4">
        <v>0</v>
      </c>
      <c r="AS4">
        <v>149</v>
      </c>
      <c r="AT4">
        <v>0</v>
      </c>
      <c r="AU4">
        <v>0</v>
      </c>
      <c r="AV4">
        <v>1</v>
      </c>
      <c r="AW4">
        <v>214</v>
      </c>
      <c r="AX4">
        <v>1</v>
      </c>
      <c r="AY4">
        <v>445</v>
      </c>
      <c r="AZ4">
        <v>9</v>
      </c>
      <c r="BA4">
        <v>220</v>
      </c>
      <c r="BB4">
        <v>146</v>
      </c>
    </row>
    <row r="5" spans="1:55" x14ac:dyDescent="0.2">
      <c r="A5" s="25" t="s">
        <v>42</v>
      </c>
      <c r="C5">
        <v>42</v>
      </c>
      <c r="E5">
        <v>99</v>
      </c>
      <c r="F5">
        <v>248</v>
      </c>
      <c r="H5">
        <v>350</v>
      </c>
      <c r="I5">
        <v>1147</v>
      </c>
      <c r="K5">
        <v>217</v>
      </c>
      <c r="L5">
        <v>14</v>
      </c>
      <c r="M5">
        <v>369</v>
      </c>
      <c r="N5">
        <v>78</v>
      </c>
      <c r="O5">
        <v>199</v>
      </c>
      <c r="P5">
        <v>120</v>
      </c>
      <c r="Q5">
        <v>851</v>
      </c>
      <c r="R5">
        <v>195</v>
      </c>
      <c r="S5">
        <v>503</v>
      </c>
      <c r="U5">
        <v>5</v>
      </c>
      <c r="V5">
        <v>501</v>
      </c>
      <c r="W5">
        <v>77</v>
      </c>
      <c r="X5">
        <v>0</v>
      </c>
      <c r="Y5">
        <v>1691</v>
      </c>
      <c r="Z5">
        <v>330</v>
      </c>
      <c r="AA5">
        <v>4649</v>
      </c>
      <c r="AB5">
        <v>4169</v>
      </c>
      <c r="AC5">
        <v>18</v>
      </c>
      <c r="AD5">
        <v>0</v>
      </c>
      <c r="AE5">
        <v>171</v>
      </c>
      <c r="AF5">
        <v>0</v>
      </c>
      <c r="AG5">
        <v>0</v>
      </c>
      <c r="AH5">
        <v>0</v>
      </c>
      <c r="AJ5">
        <v>150</v>
      </c>
      <c r="AL5">
        <v>0</v>
      </c>
      <c r="AM5">
        <v>0</v>
      </c>
      <c r="AN5">
        <v>509</v>
      </c>
      <c r="AO5">
        <v>0</v>
      </c>
      <c r="AP5">
        <v>24</v>
      </c>
      <c r="AQ5">
        <v>273</v>
      </c>
      <c r="AR5">
        <v>0</v>
      </c>
      <c r="AS5">
        <v>113</v>
      </c>
      <c r="AT5">
        <v>5</v>
      </c>
      <c r="AU5">
        <v>0</v>
      </c>
      <c r="AV5">
        <v>0</v>
      </c>
      <c r="AW5">
        <v>229</v>
      </c>
      <c r="AX5">
        <v>0</v>
      </c>
      <c r="AY5">
        <v>422</v>
      </c>
      <c r="BA5">
        <v>146</v>
      </c>
      <c r="BB5">
        <v>145</v>
      </c>
    </row>
    <row r="6" spans="1:55" x14ac:dyDescent="0.2">
      <c r="A6" s="25" t="s">
        <v>43</v>
      </c>
      <c r="C6">
        <v>22</v>
      </c>
      <c r="E6">
        <v>41</v>
      </c>
      <c r="F6">
        <v>213</v>
      </c>
      <c r="H6">
        <v>205</v>
      </c>
      <c r="I6">
        <v>693</v>
      </c>
      <c r="K6">
        <v>206</v>
      </c>
      <c r="L6">
        <v>7</v>
      </c>
      <c r="M6">
        <v>311</v>
      </c>
      <c r="N6">
        <v>91</v>
      </c>
      <c r="O6">
        <v>191</v>
      </c>
      <c r="P6">
        <v>108</v>
      </c>
      <c r="Q6">
        <v>700</v>
      </c>
      <c r="R6">
        <v>182</v>
      </c>
      <c r="S6">
        <v>712</v>
      </c>
      <c r="U6">
        <v>4</v>
      </c>
      <c r="V6">
        <v>284</v>
      </c>
      <c r="W6">
        <v>44</v>
      </c>
      <c r="X6">
        <v>0</v>
      </c>
      <c r="Y6">
        <v>1191</v>
      </c>
      <c r="Z6">
        <v>291</v>
      </c>
      <c r="AA6">
        <v>3791</v>
      </c>
      <c r="AB6">
        <v>6494</v>
      </c>
      <c r="AC6">
        <v>24</v>
      </c>
      <c r="AD6">
        <v>0</v>
      </c>
      <c r="AE6">
        <v>138</v>
      </c>
      <c r="AF6">
        <v>0</v>
      </c>
      <c r="AG6">
        <v>0</v>
      </c>
      <c r="AH6">
        <v>0</v>
      </c>
      <c r="AJ6">
        <v>164</v>
      </c>
      <c r="AL6">
        <v>0</v>
      </c>
      <c r="AM6">
        <v>0</v>
      </c>
      <c r="AN6">
        <v>441</v>
      </c>
      <c r="AO6">
        <v>0</v>
      </c>
      <c r="AP6">
        <v>54</v>
      </c>
      <c r="AQ6">
        <v>302</v>
      </c>
      <c r="AR6">
        <v>0</v>
      </c>
      <c r="AS6">
        <v>111</v>
      </c>
      <c r="AT6">
        <v>0</v>
      </c>
      <c r="AU6">
        <v>0</v>
      </c>
      <c r="AV6">
        <v>1</v>
      </c>
      <c r="AW6">
        <v>116</v>
      </c>
      <c r="AX6">
        <v>0</v>
      </c>
      <c r="AY6">
        <v>354</v>
      </c>
      <c r="AZ6">
        <v>6</v>
      </c>
      <c r="BA6">
        <v>13</v>
      </c>
      <c r="BB6">
        <v>147</v>
      </c>
    </row>
    <row r="7" spans="1:55" x14ac:dyDescent="0.2">
      <c r="A7" s="25" t="s">
        <v>44</v>
      </c>
      <c r="C7">
        <v>18</v>
      </c>
      <c r="E7">
        <v>36</v>
      </c>
      <c r="F7">
        <v>57</v>
      </c>
      <c r="H7">
        <v>53</v>
      </c>
      <c r="I7">
        <v>27</v>
      </c>
      <c r="K7">
        <v>66</v>
      </c>
      <c r="L7">
        <v>8</v>
      </c>
      <c r="M7">
        <v>54</v>
      </c>
      <c r="N7">
        <v>19</v>
      </c>
      <c r="O7">
        <v>45</v>
      </c>
      <c r="P7">
        <v>63</v>
      </c>
      <c r="Q7">
        <v>241</v>
      </c>
      <c r="R7">
        <v>84</v>
      </c>
      <c r="S7">
        <v>243</v>
      </c>
      <c r="U7">
        <v>3</v>
      </c>
      <c r="V7">
        <v>115</v>
      </c>
      <c r="W7">
        <v>9</v>
      </c>
      <c r="X7">
        <v>0</v>
      </c>
      <c r="Y7">
        <v>421</v>
      </c>
      <c r="Z7">
        <v>64</v>
      </c>
      <c r="AA7">
        <v>1625</v>
      </c>
      <c r="AB7">
        <v>5764</v>
      </c>
      <c r="AC7">
        <v>5</v>
      </c>
      <c r="AD7">
        <v>0</v>
      </c>
      <c r="AE7">
        <v>57</v>
      </c>
      <c r="AF7">
        <v>0</v>
      </c>
      <c r="AG7">
        <v>0</v>
      </c>
      <c r="AH7">
        <v>0</v>
      </c>
      <c r="AJ7">
        <v>102</v>
      </c>
      <c r="AL7">
        <v>0</v>
      </c>
      <c r="AM7">
        <v>0</v>
      </c>
      <c r="AN7">
        <v>77</v>
      </c>
      <c r="AO7">
        <v>0</v>
      </c>
      <c r="AP7">
        <v>27</v>
      </c>
      <c r="AQ7">
        <v>256</v>
      </c>
      <c r="AR7">
        <v>0</v>
      </c>
      <c r="AS7">
        <v>16</v>
      </c>
      <c r="AT7">
        <v>5</v>
      </c>
      <c r="AU7">
        <v>0</v>
      </c>
      <c r="AV7">
        <v>1</v>
      </c>
      <c r="AW7">
        <v>0</v>
      </c>
      <c r="AX7">
        <v>0</v>
      </c>
      <c r="AY7">
        <v>102</v>
      </c>
      <c r="AZ7">
        <v>5</v>
      </c>
      <c r="BA7">
        <v>119</v>
      </c>
      <c r="BB7">
        <v>83</v>
      </c>
    </row>
    <row r="8" spans="1:55" x14ac:dyDescent="0.2">
      <c r="A8" s="25" t="s">
        <v>45</v>
      </c>
      <c r="C8">
        <v>14</v>
      </c>
      <c r="E8">
        <v>24</v>
      </c>
      <c r="F8">
        <v>18</v>
      </c>
      <c r="H8">
        <v>2</v>
      </c>
      <c r="I8">
        <v>13</v>
      </c>
      <c r="K8">
        <v>12</v>
      </c>
      <c r="L8">
        <v>7</v>
      </c>
      <c r="M8">
        <v>14</v>
      </c>
      <c r="N8">
        <v>6</v>
      </c>
      <c r="O8">
        <v>23</v>
      </c>
      <c r="P8">
        <v>41</v>
      </c>
      <c r="Q8">
        <v>78</v>
      </c>
      <c r="R8">
        <v>31</v>
      </c>
      <c r="S8">
        <v>49</v>
      </c>
      <c r="U8">
        <v>4</v>
      </c>
      <c r="V8">
        <v>34</v>
      </c>
      <c r="W8">
        <v>3</v>
      </c>
      <c r="X8">
        <v>0</v>
      </c>
      <c r="Y8">
        <v>174</v>
      </c>
      <c r="Z8">
        <v>10</v>
      </c>
      <c r="AA8">
        <v>760</v>
      </c>
      <c r="AB8">
        <v>5165</v>
      </c>
      <c r="AC8">
        <v>3</v>
      </c>
      <c r="AD8">
        <v>0</v>
      </c>
      <c r="AE8">
        <v>34</v>
      </c>
      <c r="AF8">
        <v>1</v>
      </c>
      <c r="AG8">
        <v>0</v>
      </c>
      <c r="AH8">
        <v>0</v>
      </c>
      <c r="AJ8">
        <v>119</v>
      </c>
      <c r="AL8">
        <v>0</v>
      </c>
      <c r="AM8">
        <v>0</v>
      </c>
      <c r="AN8">
        <v>5</v>
      </c>
      <c r="AO8">
        <v>0</v>
      </c>
      <c r="AP8">
        <v>2</v>
      </c>
      <c r="AQ8">
        <v>177</v>
      </c>
      <c r="AR8">
        <v>1</v>
      </c>
      <c r="AS8">
        <v>9</v>
      </c>
      <c r="AT8">
        <v>0</v>
      </c>
      <c r="AU8">
        <v>0</v>
      </c>
      <c r="AV8">
        <v>0</v>
      </c>
      <c r="AW8">
        <v>1</v>
      </c>
      <c r="AX8">
        <v>0</v>
      </c>
      <c r="AY8">
        <v>12</v>
      </c>
      <c r="AZ8">
        <v>6</v>
      </c>
      <c r="BA8">
        <v>34</v>
      </c>
      <c r="BB8">
        <v>1</v>
      </c>
    </row>
    <row r="9" spans="1:55" x14ac:dyDescent="0.2">
      <c r="A9" s="25" t="s">
        <v>46</v>
      </c>
      <c r="C9">
        <v>12</v>
      </c>
      <c r="E9">
        <v>17</v>
      </c>
      <c r="F9">
        <v>13</v>
      </c>
      <c r="H9">
        <v>4</v>
      </c>
      <c r="I9">
        <v>11</v>
      </c>
      <c r="K9">
        <v>0</v>
      </c>
      <c r="L9">
        <v>5</v>
      </c>
      <c r="M9">
        <v>7</v>
      </c>
      <c r="N9">
        <v>6</v>
      </c>
      <c r="O9">
        <v>9</v>
      </c>
      <c r="P9">
        <v>18</v>
      </c>
      <c r="Q9">
        <v>0</v>
      </c>
      <c r="R9">
        <v>3</v>
      </c>
      <c r="S9">
        <v>0</v>
      </c>
      <c r="U9">
        <v>4</v>
      </c>
      <c r="V9">
        <v>5</v>
      </c>
      <c r="W9">
        <v>3</v>
      </c>
      <c r="X9">
        <v>0</v>
      </c>
      <c r="Y9">
        <v>18</v>
      </c>
      <c r="Z9">
        <v>1</v>
      </c>
      <c r="AA9">
        <v>216</v>
      </c>
      <c r="AB9">
        <v>5014</v>
      </c>
      <c r="AC9">
        <v>0</v>
      </c>
      <c r="AD9">
        <v>0</v>
      </c>
      <c r="AE9">
        <v>16</v>
      </c>
      <c r="AF9">
        <v>0</v>
      </c>
      <c r="AG9">
        <v>0</v>
      </c>
      <c r="AH9">
        <v>40</v>
      </c>
      <c r="AJ9">
        <v>120</v>
      </c>
      <c r="AL9">
        <v>0</v>
      </c>
      <c r="AM9">
        <v>0</v>
      </c>
      <c r="AN9">
        <v>0</v>
      </c>
      <c r="AO9">
        <v>0</v>
      </c>
      <c r="AP9">
        <v>0</v>
      </c>
      <c r="AQ9">
        <v>155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4</v>
      </c>
      <c r="BA9">
        <v>17</v>
      </c>
      <c r="BB9">
        <v>8</v>
      </c>
    </row>
    <row r="10" spans="1:55" x14ac:dyDescent="0.2">
      <c r="A10" s="25" t="s">
        <v>47</v>
      </c>
      <c r="C10">
        <v>11</v>
      </c>
      <c r="E10">
        <v>16</v>
      </c>
      <c r="F10">
        <v>13</v>
      </c>
      <c r="H10">
        <v>7</v>
      </c>
      <c r="I10">
        <v>11</v>
      </c>
      <c r="K10">
        <v>0</v>
      </c>
      <c r="L10">
        <v>10</v>
      </c>
      <c r="M10">
        <v>8</v>
      </c>
      <c r="N10">
        <v>7</v>
      </c>
      <c r="O10">
        <v>10</v>
      </c>
      <c r="P10">
        <v>12</v>
      </c>
      <c r="Q10">
        <v>0</v>
      </c>
      <c r="R10">
        <v>5</v>
      </c>
      <c r="S10">
        <v>0</v>
      </c>
      <c r="U10">
        <v>3</v>
      </c>
      <c r="V10">
        <v>4</v>
      </c>
      <c r="W10">
        <v>3</v>
      </c>
      <c r="X10">
        <v>0</v>
      </c>
      <c r="Y10">
        <v>11</v>
      </c>
      <c r="Z10">
        <v>1</v>
      </c>
      <c r="AA10">
        <v>245</v>
      </c>
      <c r="AB10">
        <v>956</v>
      </c>
      <c r="AC10">
        <v>2</v>
      </c>
      <c r="AD10">
        <v>7</v>
      </c>
      <c r="AE10">
        <v>25</v>
      </c>
      <c r="AF10">
        <v>2</v>
      </c>
      <c r="AG10">
        <v>3</v>
      </c>
      <c r="AH10">
        <v>9</v>
      </c>
      <c r="AJ10">
        <v>121</v>
      </c>
      <c r="AL10">
        <v>172</v>
      </c>
      <c r="AM10">
        <v>6</v>
      </c>
      <c r="AN10">
        <v>10</v>
      </c>
      <c r="AO10">
        <v>20</v>
      </c>
      <c r="AP10">
        <v>6</v>
      </c>
      <c r="AQ10">
        <v>162</v>
      </c>
      <c r="AR10">
        <v>9</v>
      </c>
      <c r="AS10">
        <v>0</v>
      </c>
      <c r="AT10">
        <v>4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3</v>
      </c>
      <c r="BA10">
        <v>17</v>
      </c>
      <c r="BB10">
        <v>0</v>
      </c>
    </row>
    <row r="11" spans="1:55" x14ac:dyDescent="0.2">
      <c r="A11" s="25" t="s">
        <v>48</v>
      </c>
      <c r="C11">
        <v>11</v>
      </c>
      <c r="E11">
        <v>15</v>
      </c>
      <c r="F11">
        <v>13</v>
      </c>
      <c r="H11">
        <v>5</v>
      </c>
      <c r="I11">
        <v>11</v>
      </c>
      <c r="K11">
        <v>0</v>
      </c>
      <c r="L11">
        <v>5</v>
      </c>
      <c r="M11">
        <v>6</v>
      </c>
      <c r="N11">
        <v>6</v>
      </c>
      <c r="O11">
        <v>9</v>
      </c>
      <c r="P11">
        <v>7</v>
      </c>
      <c r="Q11">
        <v>3</v>
      </c>
      <c r="R11">
        <v>4</v>
      </c>
      <c r="S11">
        <v>20</v>
      </c>
      <c r="U11">
        <v>5</v>
      </c>
      <c r="V11">
        <v>5</v>
      </c>
      <c r="W11">
        <v>2</v>
      </c>
      <c r="X11">
        <v>0</v>
      </c>
      <c r="Y11">
        <v>18</v>
      </c>
      <c r="Z11">
        <v>0</v>
      </c>
      <c r="AA11">
        <v>211</v>
      </c>
      <c r="AB11">
        <v>1776</v>
      </c>
      <c r="AC11">
        <v>0</v>
      </c>
      <c r="AD11">
        <v>1831</v>
      </c>
      <c r="AE11">
        <v>34</v>
      </c>
      <c r="AF11">
        <v>1</v>
      </c>
      <c r="AG11">
        <v>14920</v>
      </c>
      <c r="AH11">
        <v>8</v>
      </c>
      <c r="AJ11">
        <v>1580</v>
      </c>
      <c r="AL11">
        <v>6396</v>
      </c>
      <c r="AM11">
        <v>4229</v>
      </c>
      <c r="AN11">
        <v>304</v>
      </c>
      <c r="AO11">
        <v>6</v>
      </c>
      <c r="AP11">
        <v>0</v>
      </c>
      <c r="AQ11">
        <v>127</v>
      </c>
      <c r="AR11">
        <v>0</v>
      </c>
      <c r="AS11">
        <v>0</v>
      </c>
      <c r="AT11">
        <v>4</v>
      </c>
      <c r="AU11">
        <v>0</v>
      </c>
      <c r="AV11">
        <v>9</v>
      </c>
      <c r="AW11">
        <v>0</v>
      </c>
      <c r="AX11">
        <v>0</v>
      </c>
      <c r="AY11">
        <v>0</v>
      </c>
      <c r="AZ11">
        <v>8</v>
      </c>
      <c r="BA11">
        <v>22</v>
      </c>
      <c r="BB11">
        <v>13</v>
      </c>
    </row>
    <row r="12" spans="1:55" x14ac:dyDescent="0.2">
      <c r="A12" s="25" t="s">
        <v>49</v>
      </c>
      <c r="C12">
        <v>10</v>
      </c>
      <c r="E12">
        <v>17</v>
      </c>
      <c r="F12">
        <v>15</v>
      </c>
      <c r="H12">
        <v>2</v>
      </c>
      <c r="I12">
        <v>12</v>
      </c>
      <c r="K12">
        <v>0</v>
      </c>
      <c r="L12">
        <v>6</v>
      </c>
      <c r="M12">
        <v>8</v>
      </c>
      <c r="N12">
        <v>7</v>
      </c>
      <c r="O12">
        <v>9</v>
      </c>
      <c r="P12">
        <v>7</v>
      </c>
      <c r="Q12">
        <v>3</v>
      </c>
      <c r="R12">
        <v>3</v>
      </c>
      <c r="S12">
        <v>162</v>
      </c>
      <c r="U12">
        <v>7</v>
      </c>
      <c r="V12">
        <v>4</v>
      </c>
      <c r="W12">
        <v>2</v>
      </c>
      <c r="X12">
        <v>0</v>
      </c>
      <c r="Y12">
        <v>7</v>
      </c>
      <c r="Z12">
        <v>1</v>
      </c>
      <c r="AA12">
        <v>302</v>
      </c>
      <c r="AB12">
        <v>1118</v>
      </c>
      <c r="AC12">
        <v>9812</v>
      </c>
      <c r="AD12">
        <v>9820</v>
      </c>
      <c r="AE12">
        <v>50</v>
      </c>
      <c r="AF12">
        <v>13808</v>
      </c>
      <c r="AG12">
        <v>45042</v>
      </c>
      <c r="AH12">
        <v>22231</v>
      </c>
      <c r="AJ12">
        <v>19185</v>
      </c>
      <c r="AL12">
        <v>18368</v>
      </c>
      <c r="AM12">
        <v>128173</v>
      </c>
      <c r="AN12">
        <v>61857</v>
      </c>
      <c r="AO12">
        <v>41828</v>
      </c>
      <c r="AP12">
        <v>13783</v>
      </c>
      <c r="AQ12">
        <v>10877</v>
      </c>
      <c r="AR12">
        <v>13662</v>
      </c>
      <c r="AS12">
        <v>14416</v>
      </c>
      <c r="AT12">
        <v>34761</v>
      </c>
      <c r="AU12">
        <v>0</v>
      </c>
      <c r="AV12">
        <v>16</v>
      </c>
      <c r="AW12">
        <v>1</v>
      </c>
      <c r="AX12">
        <v>2457</v>
      </c>
      <c r="AY12">
        <v>0</v>
      </c>
      <c r="AZ12">
        <v>5</v>
      </c>
      <c r="BA12">
        <v>63550</v>
      </c>
      <c r="BB12">
        <v>7</v>
      </c>
    </row>
    <row r="13" spans="1:55" x14ac:dyDescent="0.2">
      <c r="A13" s="25" t="s">
        <v>50</v>
      </c>
      <c r="C13">
        <v>15</v>
      </c>
      <c r="E13">
        <v>19</v>
      </c>
      <c r="F13">
        <v>13</v>
      </c>
      <c r="H13">
        <v>2</v>
      </c>
      <c r="I13">
        <v>72</v>
      </c>
      <c r="K13">
        <v>25</v>
      </c>
      <c r="L13">
        <v>7</v>
      </c>
      <c r="M13">
        <v>7</v>
      </c>
      <c r="N13">
        <v>6</v>
      </c>
      <c r="O13">
        <v>28</v>
      </c>
      <c r="P13">
        <v>7</v>
      </c>
      <c r="Q13">
        <v>37</v>
      </c>
      <c r="R13">
        <v>57</v>
      </c>
      <c r="S13">
        <v>299</v>
      </c>
      <c r="U13">
        <v>11</v>
      </c>
      <c r="V13">
        <v>17</v>
      </c>
      <c r="W13">
        <v>5</v>
      </c>
      <c r="X13">
        <v>0</v>
      </c>
      <c r="Y13">
        <v>268</v>
      </c>
      <c r="Z13">
        <v>28</v>
      </c>
      <c r="AA13">
        <v>1172</v>
      </c>
      <c r="AB13">
        <v>1369</v>
      </c>
      <c r="AC13">
        <v>3907</v>
      </c>
      <c r="AD13">
        <v>24442</v>
      </c>
      <c r="AE13">
        <v>56</v>
      </c>
      <c r="AF13">
        <v>58141</v>
      </c>
      <c r="AG13">
        <v>36761</v>
      </c>
      <c r="AH13">
        <v>101733</v>
      </c>
      <c r="AJ13">
        <v>15538</v>
      </c>
      <c r="AL13">
        <v>11080</v>
      </c>
      <c r="AM13">
        <v>144523</v>
      </c>
      <c r="AN13">
        <v>66825</v>
      </c>
      <c r="AO13">
        <v>73451</v>
      </c>
      <c r="AP13">
        <v>83403</v>
      </c>
      <c r="AQ13">
        <v>66745</v>
      </c>
      <c r="AR13">
        <v>59013</v>
      </c>
      <c r="AS13">
        <v>26634</v>
      </c>
      <c r="AT13">
        <v>41781</v>
      </c>
      <c r="AU13">
        <v>0</v>
      </c>
      <c r="AV13">
        <v>24</v>
      </c>
      <c r="AW13">
        <v>38</v>
      </c>
      <c r="AX13">
        <v>41340</v>
      </c>
      <c r="AY13">
        <v>18</v>
      </c>
      <c r="AZ13">
        <v>5</v>
      </c>
      <c r="BA13">
        <v>132269</v>
      </c>
      <c r="BB13">
        <v>7</v>
      </c>
    </row>
    <row r="14" spans="1:55" x14ac:dyDescent="0.2">
      <c r="A14" s="25" t="s">
        <v>51</v>
      </c>
      <c r="C14">
        <v>22</v>
      </c>
      <c r="E14">
        <v>22</v>
      </c>
      <c r="F14">
        <v>333</v>
      </c>
      <c r="H14">
        <v>5</v>
      </c>
      <c r="I14">
        <v>1089</v>
      </c>
      <c r="K14">
        <v>155</v>
      </c>
      <c r="L14">
        <v>9</v>
      </c>
      <c r="M14">
        <v>179</v>
      </c>
      <c r="N14">
        <v>44</v>
      </c>
      <c r="O14">
        <v>132</v>
      </c>
      <c r="P14">
        <v>11</v>
      </c>
      <c r="Q14">
        <v>536</v>
      </c>
      <c r="R14">
        <v>194</v>
      </c>
      <c r="S14">
        <v>717</v>
      </c>
      <c r="U14">
        <v>7</v>
      </c>
      <c r="V14">
        <v>315</v>
      </c>
      <c r="W14">
        <v>5</v>
      </c>
      <c r="X14">
        <v>0</v>
      </c>
      <c r="Y14">
        <v>1164</v>
      </c>
      <c r="Z14">
        <v>257</v>
      </c>
      <c r="AA14">
        <v>4073</v>
      </c>
      <c r="AB14">
        <v>2602</v>
      </c>
      <c r="AC14">
        <v>1073</v>
      </c>
      <c r="AD14">
        <v>5072</v>
      </c>
      <c r="AE14">
        <v>171</v>
      </c>
      <c r="AF14">
        <v>21124</v>
      </c>
      <c r="AG14">
        <v>7149</v>
      </c>
      <c r="AH14">
        <v>40123</v>
      </c>
      <c r="AJ14">
        <v>5179</v>
      </c>
      <c r="AL14">
        <v>812</v>
      </c>
      <c r="AM14">
        <v>44552</v>
      </c>
      <c r="AN14">
        <v>10287</v>
      </c>
      <c r="AO14">
        <v>9257</v>
      </c>
      <c r="AP14">
        <v>91488</v>
      </c>
      <c r="AQ14">
        <v>19646</v>
      </c>
      <c r="AR14">
        <v>11874</v>
      </c>
      <c r="AS14">
        <v>6079</v>
      </c>
      <c r="AT14">
        <v>5111</v>
      </c>
      <c r="AU14">
        <v>0</v>
      </c>
      <c r="AV14">
        <v>8</v>
      </c>
      <c r="AW14">
        <v>242</v>
      </c>
      <c r="AX14">
        <v>27890</v>
      </c>
      <c r="AY14">
        <v>150</v>
      </c>
      <c r="AZ14">
        <v>9</v>
      </c>
      <c r="BA14">
        <v>20459</v>
      </c>
      <c r="BB14">
        <v>62</v>
      </c>
    </row>
    <row r="15" spans="1:55" x14ac:dyDescent="0.2">
      <c r="A15" s="25" t="s">
        <v>52</v>
      </c>
      <c r="C15">
        <v>127</v>
      </c>
      <c r="E15">
        <v>27</v>
      </c>
      <c r="F15">
        <v>475</v>
      </c>
      <c r="H15">
        <v>29</v>
      </c>
      <c r="I15">
        <v>965</v>
      </c>
      <c r="K15">
        <v>251</v>
      </c>
      <c r="L15">
        <v>8</v>
      </c>
      <c r="M15">
        <v>423</v>
      </c>
      <c r="N15">
        <v>342</v>
      </c>
      <c r="O15">
        <v>251</v>
      </c>
      <c r="P15">
        <v>59</v>
      </c>
      <c r="Q15">
        <v>638</v>
      </c>
      <c r="R15">
        <v>226</v>
      </c>
      <c r="S15">
        <v>1087</v>
      </c>
      <c r="U15">
        <v>8</v>
      </c>
      <c r="V15">
        <v>525</v>
      </c>
      <c r="W15">
        <v>7</v>
      </c>
      <c r="X15">
        <v>0</v>
      </c>
      <c r="Y15">
        <v>1913</v>
      </c>
      <c r="Z15">
        <v>449</v>
      </c>
      <c r="AA15">
        <v>6343</v>
      </c>
      <c r="AB15">
        <v>2158</v>
      </c>
      <c r="AC15">
        <v>49</v>
      </c>
      <c r="AD15">
        <v>0</v>
      </c>
      <c r="AE15">
        <v>204</v>
      </c>
      <c r="AF15">
        <v>1290</v>
      </c>
      <c r="AH15">
        <v>185</v>
      </c>
      <c r="AJ15">
        <v>282</v>
      </c>
      <c r="AL15">
        <v>2235</v>
      </c>
      <c r="AM15">
        <v>15232</v>
      </c>
      <c r="AN15">
        <v>3377</v>
      </c>
      <c r="AO15">
        <v>505</v>
      </c>
      <c r="AP15">
        <v>10088</v>
      </c>
      <c r="AQ15">
        <v>378</v>
      </c>
      <c r="AR15">
        <v>0</v>
      </c>
      <c r="AS15">
        <v>171</v>
      </c>
      <c r="AU15">
        <v>0</v>
      </c>
      <c r="AV15">
        <v>1</v>
      </c>
      <c r="AW15">
        <v>417</v>
      </c>
      <c r="AX15">
        <v>192</v>
      </c>
      <c r="AY15">
        <v>528</v>
      </c>
      <c r="AZ15">
        <v>19</v>
      </c>
      <c r="BA15">
        <v>8337</v>
      </c>
      <c r="BB15">
        <v>212</v>
      </c>
    </row>
    <row r="16" spans="1:55" ht="13.5" thickBot="1" x14ac:dyDescent="0.25">
      <c r="A16" s="92" t="s">
        <v>58</v>
      </c>
      <c r="B16" s="93">
        <f>SUM(B4:B15)/10</f>
        <v>0</v>
      </c>
      <c r="C16" s="93">
        <f>SUM(B21:B32)/10</f>
        <v>0</v>
      </c>
      <c r="D16" s="93"/>
      <c r="E16" s="94">
        <f>SUM(E4:E15)/10</f>
        <v>34.799999999999997</v>
      </c>
      <c r="F16" s="94">
        <f>SUM(F4:F15)/10</f>
        <v>192.5</v>
      </c>
      <c r="G16" s="95">
        <f>SUM(G4:G15)/10</f>
        <v>0</v>
      </c>
      <c r="H16" s="94">
        <f>SUM(H4:H15)/10</f>
        <v>102.1</v>
      </c>
      <c r="I16" s="94">
        <f>SUM(I4:I15)/10</f>
        <v>480.6</v>
      </c>
      <c r="J16" s="94"/>
      <c r="K16" s="94">
        <f t="shared" ref="K16:S16" si="0">SUM(K4:K15)/10</f>
        <v>115.1</v>
      </c>
      <c r="L16" s="94">
        <f t="shared" si="0"/>
        <v>9.6</v>
      </c>
      <c r="M16" s="94">
        <f t="shared" si="0"/>
        <v>176.6</v>
      </c>
      <c r="N16" s="94">
        <f t="shared" si="0"/>
        <v>69.599999999999994</v>
      </c>
      <c r="O16" s="94">
        <f t="shared" si="0"/>
        <v>110.6</v>
      </c>
      <c r="P16" s="94">
        <f t="shared" si="0"/>
        <v>55.7</v>
      </c>
      <c r="Q16" s="94">
        <f t="shared" si="0"/>
        <v>387.6</v>
      </c>
      <c r="R16" s="94">
        <f t="shared" si="0"/>
        <v>114</v>
      </c>
      <c r="S16" s="94">
        <f t="shared" si="0"/>
        <v>452.2</v>
      </c>
      <c r="T16" s="94"/>
      <c r="U16" s="94">
        <f t="shared" ref="U16:AD16" si="1">SUM(U4:U15)/10</f>
        <v>7.4</v>
      </c>
      <c r="V16" s="94">
        <f t="shared" si="1"/>
        <v>221.8</v>
      </c>
      <c r="W16" s="94">
        <f t="shared" si="1"/>
        <v>24</v>
      </c>
      <c r="X16" s="94">
        <f t="shared" si="1"/>
        <v>0</v>
      </c>
      <c r="Y16" s="94">
        <f t="shared" si="1"/>
        <v>886.1</v>
      </c>
      <c r="Z16" s="94">
        <f t="shared" si="1"/>
        <v>175.1</v>
      </c>
      <c r="AA16" s="94">
        <f t="shared" si="1"/>
        <v>2776.2</v>
      </c>
      <c r="AB16" s="94">
        <f t="shared" si="1"/>
        <v>3861.9</v>
      </c>
      <c r="AC16" s="94">
        <f t="shared" si="1"/>
        <v>1489.3</v>
      </c>
      <c r="AD16" s="94">
        <f t="shared" si="1"/>
        <v>4117.2</v>
      </c>
      <c r="AE16" s="94"/>
      <c r="AF16" s="94">
        <f>SUM(AF4:AF15)/10</f>
        <v>9436.7000000000007</v>
      </c>
      <c r="AG16" s="94">
        <f>SUM(AG4:AG15)/10</f>
        <v>10387.5</v>
      </c>
      <c r="AH16" s="94">
        <f>SUM(AH4:AH15)/10</f>
        <v>16432.900000000001</v>
      </c>
      <c r="AI16" s="94">
        <f>SUM(AI4:AI15)/10</f>
        <v>0</v>
      </c>
      <c r="AJ16" s="94">
        <f>SUM(AJ4:AJ15)/10</f>
        <v>4274.3999999999996</v>
      </c>
      <c r="AK16" s="94"/>
      <c r="AL16" s="94">
        <f t="shared" ref="AL16:BB16" si="2">SUM(AL4:AL15)/10</f>
        <v>3906.3</v>
      </c>
      <c r="AM16" s="94">
        <f t="shared" si="2"/>
        <v>33671.5</v>
      </c>
      <c r="AN16" s="94">
        <f t="shared" si="2"/>
        <v>14423.3</v>
      </c>
      <c r="AO16" s="94">
        <f t="shared" si="2"/>
        <v>12506.7</v>
      </c>
      <c r="AP16" s="94">
        <f t="shared" si="2"/>
        <v>19894</v>
      </c>
      <c r="AQ16" s="94">
        <f t="shared" si="2"/>
        <v>9943.6</v>
      </c>
      <c r="AR16" s="94">
        <f t="shared" si="2"/>
        <v>8455.9</v>
      </c>
      <c r="AS16" s="96">
        <f t="shared" si="2"/>
        <v>4769.8</v>
      </c>
      <c r="AT16" s="94">
        <f t="shared" si="2"/>
        <v>8167.1</v>
      </c>
      <c r="AU16" s="94">
        <f t="shared" si="2"/>
        <v>0</v>
      </c>
      <c r="AV16" s="94">
        <f t="shared" si="2"/>
        <v>6.2</v>
      </c>
      <c r="AW16" s="94">
        <f t="shared" si="2"/>
        <v>126</v>
      </c>
      <c r="AX16" s="94">
        <f t="shared" si="2"/>
        <v>7188</v>
      </c>
      <c r="AY16" s="94">
        <f t="shared" si="2"/>
        <v>203.1</v>
      </c>
      <c r="AZ16" s="94">
        <f t="shared" si="2"/>
        <v>7.9</v>
      </c>
      <c r="BA16" s="94">
        <f t="shared" si="2"/>
        <v>22520.3</v>
      </c>
      <c r="BB16" s="94">
        <f t="shared" si="2"/>
        <v>83.1</v>
      </c>
      <c r="BC16" s="97">
        <f>SUM(B16:BB16)</f>
        <v>202264.3</v>
      </c>
    </row>
    <row r="17" spans="1:55" ht="13.5" thickTop="1" x14ac:dyDescent="0.2">
      <c r="A17" s="92"/>
      <c r="B17" s="134">
        <f>SUM(B4:B15)</f>
        <v>0</v>
      </c>
      <c r="C17" s="134">
        <f t="shared" ref="C17:AE17" si="3">SUM(C4:C15)</f>
        <v>403</v>
      </c>
      <c r="D17" s="134">
        <f t="shared" si="3"/>
        <v>0</v>
      </c>
      <c r="E17" s="134">
        <f t="shared" si="3"/>
        <v>348</v>
      </c>
      <c r="F17" s="134">
        <f t="shared" si="3"/>
        <v>1925</v>
      </c>
      <c r="G17" s="134">
        <f t="shared" si="3"/>
        <v>0</v>
      </c>
      <c r="H17" s="134">
        <f t="shared" si="3"/>
        <v>1021</v>
      </c>
      <c r="I17" s="134">
        <f t="shared" si="3"/>
        <v>4806</v>
      </c>
      <c r="J17" s="134">
        <f t="shared" si="3"/>
        <v>0</v>
      </c>
      <c r="K17" s="134">
        <f t="shared" si="3"/>
        <v>1151</v>
      </c>
      <c r="L17" s="134">
        <f t="shared" si="3"/>
        <v>96</v>
      </c>
      <c r="M17" s="134">
        <f t="shared" si="3"/>
        <v>1766</v>
      </c>
      <c r="N17" s="134">
        <f t="shared" si="3"/>
        <v>696</v>
      </c>
      <c r="O17" s="134">
        <f t="shared" si="3"/>
        <v>1106</v>
      </c>
      <c r="P17" s="134">
        <f t="shared" si="3"/>
        <v>557</v>
      </c>
      <c r="Q17" s="134">
        <f t="shared" si="3"/>
        <v>3876</v>
      </c>
      <c r="R17" s="134">
        <f t="shared" si="3"/>
        <v>1140</v>
      </c>
      <c r="S17" s="134">
        <f t="shared" si="3"/>
        <v>4522</v>
      </c>
      <c r="T17" s="134">
        <f t="shared" si="3"/>
        <v>0</v>
      </c>
      <c r="U17" s="134">
        <f t="shared" si="3"/>
        <v>74</v>
      </c>
      <c r="V17" s="134">
        <f t="shared" si="3"/>
        <v>2218</v>
      </c>
      <c r="W17" s="134">
        <f t="shared" si="3"/>
        <v>240</v>
      </c>
      <c r="X17" s="134">
        <f t="shared" si="3"/>
        <v>0</v>
      </c>
      <c r="Y17" s="134">
        <f t="shared" si="3"/>
        <v>8861</v>
      </c>
      <c r="Z17" s="134">
        <f t="shared" si="3"/>
        <v>1751</v>
      </c>
      <c r="AA17" s="134">
        <f t="shared" si="3"/>
        <v>27762</v>
      </c>
      <c r="AB17" s="134">
        <f t="shared" si="3"/>
        <v>38619</v>
      </c>
      <c r="AC17" s="134">
        <f t="shared" si="3"/>
        <v>14893</v>
      </c>
      <c r="AD17" s="134">
        <f t="shared" si="3"/>
        <v>41172</v>
      </c>
      <c r="AE17" s="134">
        <f t="shared" si="3"/>
        <v>1211</v>
      </c>
      <c r="AF17" s="135">
        <f>SUM(AF4:AF15)</f>
        <v>94367</v>
      </c>
      <c r="AG17" s="135">
        <f>SUM(AG4:AG15)</f>
        <v>103875</v>
      </c>
      <c r="AH17" s="135">
        <f t="shared" ref="AH17:BB17" si="4">SUM(AH4:AH15)</f>
        <v>164329</v>
      </c>
      <c r="AI17" s="135">
        <f t="shared" si="4"/>
        <v>0</v>
      </c>
      <c r="AJ17" s="135">
        <f t="shared" si="4"/>
        <v>42744</v>
      </c>
      <c r="AK17" s="135">
        <f t="shared" si="4"/>
        <v>0</v>
      </c>
      <c r="AL17" s="135">
        <f t="shared" si="4"/>
        <v>39063</v>
      </c>
      <c r="AM17" s="135">
        <f t="shared" si="4"/>
        <v>336715</v>
      </c>
      <c r="AN17" s="135">
        <f t="shared" si="4"/>
        <v>144233</v>
      </c>
      <c r="AO17" s="135">
        <f t="shared" si="4"/>
        <v>125067</v>
      </c>
      <c r="AP17" s="135">
        <f t="shared" si="4"/>
        <v>198940</v>
      </c>
      <c r="AQ17" s="135">
        <f t="shared" si="4"/>
        <v>99436</v>
      </c>
      <c r="AR17" s="135">
        <f t="shared" si="4"/>
        <v>84559</v>
      </c>
      <c r="AS17" s="135">
        <f t="shared" si="4"/>
        <v>47698</v>
      </c>
      <c r="AT17" s="135">
        <f t="shared" si="4"/>
        <v>81671</v>
      </c>
      <c r="AU17" s="135">
        <f t="shared" si="4"/>
        <v>0</v>
      </c>
      <c r="AV17" s="135">
        <f t="shared" si="4"/>
        <v>62</v>
      </c>
      <c r="AW17" s="135">
        <f t="shared" si="4"/>
        <v>1260</v>
      </c>
      <c r="AX17" s="135">
        <f t="shared" si="4"/>
        <v>71880</v>
      </c>
      <c r="AY17" s="135">
        <f t="shared" si="4"/>
        <v>2031</v>
      </c>
      <c r="AZ17" s="135">
        <f t="shared" si="4"/>
        <v>79</v>
      </c>
      <c r="BA17" s="135">
        <f t="shared" si="4"/>
        <v>225203</v>
      </c>
      <c r="BB17" s="135">
        <f t="shared" si="4"/>
        <v>831</v>
      </c>
      <c r="BC17" s="138">
        <f>SUM(B17:BB17)</f>
        <v>2024257</v>
      </c>
    </row>
    <row r="18" spans="1:55" x14ac:dyDescent="0.2">
      <c r="A18" s="92"/>
      <c r="B18" s="134"/>
      <c r="C18" s="134"/>
      <c r="D18" s="134"/>
      <c r="E18" s="135"/>
      <c r="F18" s="135"/>
      <c r="G18" s="136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7"/>
      <c r="AT18" s="135"/>
      <c r="AU18" s="135"/>
      <c r="AV18" s="135"/>
      <c r="AW18" s="135"/>
      <c r="AX18" s="135"/>
      <c r="AY18" s="135"/>
      <c r="AZ18" s="135"/>
      <c r="BA18" s="135"/>
      <c r="BB18" s="135"/>
      <c r="BC18" s="138"/>
    </row>
    <row r="20" spans="1:55" x14ac:dyDescent="0.2">
      <c r="A20" s="26">
        <v>2013</v>
      </c>
      <c r="B20" s="31" t="s">
        <v>53</v>
      </c>
      <c r="C20" s="31" t="s">
        <v>53</v>
      </c>
      <c r="D20" s="31" t="s">
        <v>53</v>
      </c>
      <c r="E20" s="31" t="s">
        <v>53</v>
      </c>
      <c r="F20" s="31" t="s">
        <v>53</v>
      </c>
      <c r="G20" s="31" t="s">
        <v>53</v>
      </c>
      <c r="H20" s="31" t="s">
        <v>53</v>
      </c>
      <c r="I20" s="31" t="s">
        <v>53</v>
      </c>
      <c r="J20" s="31" t="s">
        <v>53</v>
      </c>
      <c r="K20" s="31" t="s">
        <v>53</v>
      </c>
      <c r="L20" s="31" t="s">
        <v>53</v>
      </c>
      <c r="M20" s="31" t="s">
        <v>53</v>
      </c>
      <c r="N20" s="31" t="s">
        <v>53</v>
      </c>
      <c r="O20" s="31" t="s">
        <v>53</v>
      </c>
      <c r="P20" s="31" t="s">
        <v>53</v>
      </c>
      <c r="Q20" s="31" t="s">
        <v>53</v>
      </c>
      <c r="R20" s="31" t="s">
        <v>53</v>
      </c>
      <c r="S20" s="31" t="s">
        <v>53</v>
      </c>
      <c r="T20" s="31" t="s">
        <v>53</v>
      </c>
      <c r="U20" s="31" t="s">
        <v>53</v>
      </c>
      <c r="V20" s="31" t="s">
        <v>53</v>
      </c>
      <c r="W20" s="31" t="s">
        <v>53</v>
      </c>
      <c r="X20" s="31" t="s">
        <v>53</v>
      </c>
      <c r="Y20" s="31" t="s">
        <v>53</v>
      </c>
      <c r="Z20" s="31" t="s">
        <v>53</v>
      </c>
      <c r="AA20" s="31" t="s">
        <v>53</v>
      </c>
      <c r="AB20" s="31" t="s">
        <v>53</v>
      </c>
      <c r="AC20" s="31" t="s">
        <v>53</v>
      </c>
      <c r="AD20" s="31" t="s">
        <v>53</v>
      </c>
      <c r="AE20" s="31" t="s">
        <v>53</v>
      </c>
      <c r="AF20" s="31" t="s">
        <v>53</v>
      </c>
      <c r="AG20" s="31" t="s">
        <v>53</v>
      </c>
      <c r="AH20" s="31" t="s">
        <v>53</v>
      </c>
      <c r="AI20" s="31" t="s">
        <v>53</v>
      </c>
      <c r="AJ20" s="31" t="s">
        <v>53</v>
      </c>
      <c r="AK20" s="31" t="s">
        <v>53</v>
      </c>
      <c r="AL20" s="31" t="s">
        <v>53</v>
      </c>
      <c r="AM20" s="69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/>
      <c r="BA20" s="31"/>
      <c r="BB20" s="31"/>
      <c r="BC20" s="31"/>
    </row>
    <row r="21" spans="1:55" x14ac:dyDescent="0.2">
      <c r="A21" s="106" t="s">
        <v>59</v>
      </c>
      <c r="C21">
        <v>83.21</v>
      </c>
      <c r="E21">
        <v>23.84</v>
      </c>
      <c r="F21">
        <v>384.55</v>
      </c>
      <c r="H21">
        <v>285.72000000000003</v>
      </c>
      <c r="I21">
        <v>589.15</v>
      </c>
      <c r="K21">
        <v>178.07</v>
      </c>
      <c r="L21">
        <v>21.08</v>
      </c>
      <c r="M21">
        <v>299.02</v>
      </c>
      <c r="N21">
        <v>74.209999999999994</v>
      </c>
      <c r="O21">
        <v>157.79</v>
      </c>
      <c r="P21">
        <v>106.85</v>
      </c>
      <c r="Q21">
        <v>581.57000000000005</v>
      </c>
      <c r="R21">
        <v>126.1</v>
      </c>
      <c r="S21">
        <v>539.73</v>
      </c>
      <c r="U21">
        <v>24.08</v>
      </c>
      <c r="V21">
        <v>320.13</v>
      </c>
      <c r="W21">
        <v>71.73</v>
      </c>
      <c r="X21">
        <v>13.55</v>
      </c>
      <c r="Y21">
        <v>1426.17</v>
      </c>
      <c r="Z21">
        <v>243.54</v>
      </c>
      <c r="AA21">
        <v>3060.08</v>
      </c>
      <c r="AB21">
        <v>1464.45</v>
      </c>
      <c r="AC21">
        <v>0</v>
      </c>
      <c r="AD21">
        <v>0</v>
      </c>
      <c r="AE21">
        <v>205.74</v>
      </c>
      <c r="AF21">
        <v>0</v>
      </c>
      <c r="AG21">
        <v>0</v>
      </c>
      <c r="AH21">
        <v>-2058.23</v>
      </c>
      <c r="AJ21">
        <v>-18582.77</v>
      </c>
      <c r="AL21">
        <v>0</v>
      </c>
      <c r="AM21">
        <v>0</v>
      </c>
      <c r="AN21">
        <v>439.73</v>
      </c>
      <c r="AO21">
        <v>0</v>
      </c>
      <c r="AP21">
        <v>49.68</v>
      </c>
      <c r="AQ21">
        <v>258.32</v>
      </c>
      <c r="AR21">
        <v>0</v>
      </c>
      <c r="AS21">
        <v>-13047.52</v>
      </c>
      <c r="AT21">
        <v>0</v>
      </c>
      <c r="AU21">
        <v>10.16</v>
      </c>
      <c r="AV21">
        <v>11.43</v>
      </c>
      <c r="AW21">
        <v>175.95</v>
      </c>
      <c r="AX21">
        <v>0.76</v>
      </c>
      <c r="AY21">
        <v>347.84</v>
      </c>
      <c r="AZ21">
        <v>19.84</v>
      </c>
      <c r="BA21">
        <v>180.9</v>
      </c>
      <c r="BB21">
        <v>116.19</v>
      </c>
    </row>
    <row r="22" spans="1:55" x14ac:dyDescent="0.2">
      <c r="A22" s="113" t="s">
        <v>42</v>
      </c>
      <c r="C22">
        <v>43.74</v>
      </c>
      <c r="E22">
        <v>82.38</v>
      </c>
      <c r="F22">
        <v>186.76</v>
      </c>
      <c r="H22">
        <v>263.33</v>
      </c>
      <c r="I22">
        <v>832.03</v>
      </c>
      <c r="K22">
        <v>172.52</v>
      </c>
      <c r="L22">
        <v>23.8</v>
      </c>
      <c r="M22">
        <v>283.87</v>
      </c>
      <c r="N22">
        <v>68.33</v>
      </c>
      <c r="O22">
        <v>153.1</v>
      </c>
      <c r="P22">
        <v>115.43</v>
      </c>
      <c r="Q22">
        <v>609.30999999999995</v>
      </c>
      <c r="R22">
        <v>150.31</v>
      </c>
      <c r="S22">
        <v>366.11</v>
      </c>
      <c r="U22">
        <v>15.25</v>
      </c>
      <c r="V22">
        <v>376.61</v>
      </c>
      <c r="W22">
        <v>65.56</v>
      </c>
      <c r="X22">
        <v>13.55</v>
      </c>
      <c r="Y22">
        <v>1191.51</v>
      </c>
      <c r="Z22">
        <v>244.9</v>
      </c>
      <c r="AA22">
        <v>3154.82</v>
      </c>
      <c r="AB22">
        <v>2844.87</v>
      </c>
      <c r="AC22">
        <v>27.27</v>
      </c>
      <c r="AD22">
        <v>0</v>
      </c>
      <c r="AE22">
        <v>138.47999999999999</v>
      </c>
      <c r="AF22">
        <v>0</v>
      </c>
      <c r="AG22">
        <v>0</v>
      </c>
      <c r="AH22">
        <v>-2058.23</v>
      </c>
      <c r="AJ22">
        <v>-18472.02</v>
      </c>
      <c r="AL22">
        <v>0</v>
      </c>
      <c r="AM22">
        <v>0</v>
      </c>
      <c r="AN22">
        <v>401.95</v>
      </c>
      <c r="AO22">
        <v>0</v>
      </c>
      <c r="AP22">
        <v>18.71</v>
      </c>
      <c r="AQ22">
        <v>212.87</v>
      </c>
      <c r="AR22">
        <v>0</v>
      </c>
      <c r="AS22">
        <v>-12956.94</v>
      </c>
      <c r="AT22">
        <v>3.87</v>
      </c>
      <c r="AU22">
        <v>10.16</v>
      </c>
      <c r="AV22">
        <v>10.42</v>
      </c>
      <c r="AW22">
        <v>176.44</v>
      </c>
      <c r="AX22">
        <v>0</v>
      </c>
      <c r="AY22">
        <v>325.07</v>
      </c>
      <c r="BA22">
        <v>118.36</v>
      </c>
      <c r="BB22">
        <v>117.4</v>
      </c>
    </row>
    <row r="23" spans="1:55" x14ac:dyDescent="0.2">
      <c r="A23" s="113" t="s">
        <v>43</v>
      </c>
      <c r="C23">
        <v>28.4</v>
      </c>
      <c r="E23">
        <v>43.67</v>
      </c>
      <c r="F23">
        <v>172.41</v>
      </c>
      <c r="H23">
        <v>173.24</v>
      </c>
      <c r="I23">
        <v>553.42999999999995</v>
      </c>
      <c r="K23">
        <v>174.25</v>
      </c>
      <c r="L23">
        <v>19.02</v>
      </c>
      <c r="M23">
        <v>256.2</v>
      </c>
      <c r="N23">
        <v>81.78</v>
      </c>
      <c r="O23">
        <v>156.61000000000001</v>
      </c>
      <c r="P23">
        <v>110</v>
      </c>
      <c r="Q23">
        <v>536.86</v>
      </c>
      <c r="R23">
        <v>149.86000000000001</v>
      </c>
      <c r="S23">
        <v>546.5</v>
      </c>
      <c r="U23">
        <v>14.42</v>
      </c>
      <c r="V23">
        <v>235.13</v>
      </c>
      <c r="W23">
        <v>45.94</v>
      </c>
      <c r="X23">
        <v>13.55</v>
      </c>
      <c r="Y23">
        <v>904.98</v>
      </c>
      <c r="Z23">
        <v>231.46</v>
      </c>
      <c r="AA23">
        <v>2766.03</v>
      </c>
      <c r="AB23">
        <v>4703.8500000000004</v>
      </c>
      <c r="AC23">
        <v>32.18</v>
      </c>
      <c r="AD23">
        <v>0</v>
      </c>
      <c r="AE23">
        <v>121.21</v>
      </c>
      <c r="AF23">
        <v>0</v>
      </c>
      <c r="AG23">
        <v>0</v>
      </c>
      <c r="AH23">
        <v>-2058.23</v>
      </c>
      <c r="AJ23">
        <v>-18362.36</v>
      </c>
      <c r="AL23">
        <v>0</v>
      </c>
      <c r="AM23">
        <v>0</v>
      </c>
      <c r="AN23">
        <v>308.26</v>
      </c>
      <c r="AO23">
        <v>0</v>
      </c>
      <c r="AP23">
        <v>39.26</v>
      </c>
      <c r="AQ23">
        <v>219.58</v>
      </c>
      <c r="AR23">
        <v>0</v>
      </c>
      <c r="AS23">
        <v>-12872.2</v>
      </c>
      <c r="AT23">
        <v>0</v>
      </c>
      <c r="AU23">
        <v>10.16</v>
      </c>
      <c r="AV23">
        <v>11.35</v>
      </c>
      <c r="AW23">
        <v>103.97</v>
      </c>
      <c r="AX23">
        <v>0</v>
      </c>
      <c r="AY23">
        <v>261.60000000000002</v>
      </c>
      <c r="AZ23">
        <v>16.5</v>
      </c>
      <c r="BA23">
        <v>10.050000000000001</v>
      </c>
      <c r="BB23">
        <v>111.81</v>
      </c>
    </row>
    <row r="24" spans="1:55" x14ac:dyDescent="0.2">
      <c r="A24" s="113" t="s">
        <v>44</v>
      </c>
      <c r="C24">
        <v>27.73</v>
      </c>
      <c r="E24">
        <v>41.02</v>
      </c>
      <c r="F24">
        <v>57.39</v>
      </c>
      <c r="H24">
        <v>56.58</v>
      </c>
      <c r="I24">
        <v>35.46</v>
      </c>
      <c r="K24">
        <v>67.099999999999994</v>
      </c>
      <c r="L24">
        <v>20.03</v>
      </c>
      <c r="M24">
        <v>57.38</v>
      </c>
      <c r="N24">
        <v>28.47</v>
      </c>
      <c r="O24">
        <v>48.68</v>
      </c>
      <c r="P24">
        <v>75.319999999999993</v>
      </c>
      <c r="Q24">
        <v>200.62</v>
      </c>
      <c r="R24">
        <v>79.08</v>
      </c>
      <c r="S24">
        <v>202.85</v>
      </c>
      <c r="U24">
        <v>13.52</v>
      </c>
      <c r="V24">
        <v>106.89</v>
      </c>
      <c r="W24">
        <v>20.09</v>
      </c>
      <c r="X24">
        <v>13.55</v>
      </c>
      <c r="Y24">
        <v>341.43</v>
      </c>
      <c r="Z24">
        <v>63.5</v>
      </c>
      <c r="AA24">
        <v>1274.19</v>
      </c>
      <c r="AB24">
        <v>4356.8999999999996</v>
      </c>
      <c r="AC24">
        <v>7.01</v>
      </c>
      <c r="AD24">
        <v>0</v>
      </c>
      <c r="AE24">
        <v>59.83</v>
      </c>
      <c r="AF24">
        <v>0</v>
      </c>
      <c r="AG24">
        <v>0</v>
      </c>
      <c r="AH24">
        <v>-2058.23</v>
      </c>
      <c r="AJ24">
        <v>-18290.89</v>
      </c>
      <c r="AL24">
        <v>0</v>
      </c>
      <c r="AM24">
        <v>0</v>
      </c>
      <c r="AN24">
        <v>56.25</v>
      </c>
      <c r="AO24">
        <v>-46</v>
      </c>
      <c r="AP24">
        <v>17.7</v>
      </c>
      <c r="AQ24">
        <v>167.89</v>
      </c>
      <c r="AR24">
        <v>0</v>
      </c>
      <c r="AS24">
        <v>-12860.47</v>
      </c>
      <c r="AT24">
        <v>3.65</v>
      </c>
      <c r="AU24">
        <v>10.16</v>
      </c>
      <c r="AV24">
        <v>11.49</v>
      </c>
      <c r="AW24">
        <v>13.55</v>
      </c>
      <c r="AX24">
        <v>0</v>
      </c>
      <c r="AY24">
        <v>96.33</v>
      </c>
      <c r="AZ24">
        <v>15.78</v>
      </c>
      <c r="BA24">
        <v>88.35</v>
      </c>
      <c r="BB24">
        <v>78.31</v>
      </c>
    </row>
    <row r="25" spans="1:55" x14ac:dyDescent="0.2">
      <c r="A25" s="113" t="s">
        <v>45</v>
      </c>
      <c r="C25">
        <v>24.61</v>
      </c>
      <c r="E25">
        <v>31.87</v>
      </c>
      <c r="F25">
        <v>27.16</v>
      </c>
      <c r="H25">
        <v>15.19</v>
      </c>
      <c r="I25">
        <v>24.22</v>
      </c>
      <c r="K25">
        <v>23.34</v>
      </c>
      <c r="L25">
        <v>19.28</v>
      </c>
      <c r="M25">
        <v>24.97</v>
      </c>
      <c r="N25">
        <v>18.37</v>
      </c>
      <c r="O25">
        <v>31.67</v>
      </c>
      <c r="P25">
        <v>54.15</v>
      </c>
      <c r="Q25">
        <v>74.099999999999994</v>
      </c>
      <c r="R25">
        <v>37.950000000000003</v>
      </c>
      <c r="S25">
        <v>52.05</v>
      </c>
      <c r="U25">
        <v>14.76</v>
      </c>
      <c r="V25">
        <v>41.46</v>
      </c>
      <c r="W25">
        <v>15.46</v>
      </c>
      <c r="X25">
        <v>13.55</v>
      </c>
      <c r="Y25">
        <v>149.91999999999999</v>
      </c>
      <c r="Z25">
        <v>21.5</v>
      </c>
      <c r="AA25">
        <v>608.86</v>
      </c>
      <c r="AB25">
        <v>3935.8</v>
      </c>
      <c r="AC25">
        <v>4.2300000000000004</v>
      </c>
      <c r="AD25">
        <v>0</v>
      </c>
      <c r="AE25">
        <v>41.46</v>
      </c>
      <c r="AF25">
        <v>1.43</v>
      </c>
      <c r="AG25">
        <v>77.72</v>
      </c>
      <c r="AH25">
        <v>-2058.23</v>
      </c>
      <c r="AJ25">
        <v>-18159.849999999999</v>
      </c>
      <c r="AL25">
        <v>0</v>
      </c>
      <c r="AM25">
        <v>0</v>
      </c>
      <c r="AN25">
        <v>3.67</v>
      </c>
      <c r="AO25">
        <v>-46</v>
      </c>
      <c r="AP25">
        <v>1.41</v>
      </c>
      <c r="AQ25">
        <v>124.02</v>
      </c>
      <c r="AR25">
        <v>1.43</v>
      </c>
      <c r="AS25">
        <v>-12853.87</v>
      </c>
      <c r="AT25">
        <v>76.05</v>
      </c>
      <c r="AU25">
        <v>10.16</v>
      </c>
      <c r="AV25">
        <v>10.42</v>
      </c>
      <c r="AW25">
        <v>14.37</v>
      </c>
      <c r="AX25">
        <v>0</v>
      </c>
      <c r="AY25">
        <v>23.34</v>
      </c>
      <c r="AZ25">
        <v>17.100000000000001</v>
      </c>
      <c r="BA25">
        <v>25.26</v>
      </c>
      <c r="BB25">
        <v>14.5</v>
      </c>
    </row>
    <row r="26" spans="1:55" x14ac:dyDescent="0.2">
      <c r="A26" s="113" t="s">
        <v>46</v>
      </c>
      <c r="C26">
        <v>23.15</v>
      </c>
      <c r="E26">
        <v>26.41</v>
      </c>
      <c r="F26">
        <v>23.25</v>
      </c>
      <c r="H26">
        <v>16.84</v>
      </c>
      <c r="I26">
        <v>22.6</v>
      </c>
      <c r="K26">
        <v>13.55</v>
      </c>
      <c r="L26">
        <v>17.66</v>
      </c>
      <c r="M26">
        <v>19.32</v>
      </c>
      <c r="N26">
        <v>18.399999999999999</v>
      </c>
      <c r="O26">
        <v>20.78</v>
      </c>
      <c r="P26">
        <v>29.85</v>
      </c>
      <c r="Q26">
        <v>13</v>
      </c>
      <c r="R26">
        <v>16.05</v>
      </c>
      <c r="S26">
        <v>13.67</v>
      </c>
      <c r="U26">
        <v>14.79</v>
      </c>
      <c r="V26">
        <v>17.66</v>
      </c>
      <c r="W26">
        <v>15.47</v>
      </c>
      <c r="X26">
        <v>13.55</v>
      </c>
      <c r="Y26">
        <v>27.87</v>
      </c>
      <c r="Z26">
        <v>14.45</v>
      </c>
      <c r="AA26">
        <v>184.03</v>
      </c>
      <c r="AB26">
        <v>3850.41</v>
      </c>
      <c r="AC26">
        <v>0.87</v>
      </c>
      <c r="AD26">
        <v>0</v>
      </c>
      <c r="AE26">
        <v>26.7</v>
      </c>
      <c r="AF26">
        <v>81.209999999999994</v>
      </c>
      <c r="AG26">
        <v>0</v>
      </c>
      <c r="AH26">
        <v>-1898.96</v>
      </c>
      <c r="AJ26">
        <v>-18074.560000000001</v>
      </c>
      <c r="AL26">
        <v>61.69</v>
      </c>
      <c r="AM26">
        <v>262.18</v>
      </c>
      <c r="AN26">
        <v>142.09</v>
      </c>
      <c r="AO26">
        <v>121.85</v>
      </c>
      <c r="AP26">
        <v>157.9</v>
      </c>
      <c r="AQ26">
        <v>173.41</v>
      </c>
      <c r="AR26">
        <v>92.43</v>
      </c>
      <c r="AS26">
        <v>-12795.69</v>
      </c>
      <c r="AT26">
        <v>0</v>
      </c>
      <c r="AU26">
        <v>10.16</v>
      </c>
      <c r="AV26">
        <v>11.52</v>
      </c>
      <c r="AW26">
        <v>14.37</v>
      </c>
      <c r="AX26">
        <v>41.22</v>
      </c>
      <c r="AY26">
        <v>13.55</v>
      </c>
      <c r="AZ26">
        <v>14.79</v>
      </c>
      <c r="BA26">
        <v>238.52</v>
      </c>
      <c r="BB26">
        <v>20.02</v>
      </c>
    </row>
    <row r="27" spans="1:55" x14ac:dyDescent="0.2">
      <c r="A27" s="113" t="s">
        <v>47</v>
      </c>
      <c r="C27">
        <v>22.4</v>
      </c>
      <c r="E27">
        <v>25.62</v>
      </c>
      <c r="F27">
        <v>23.25</v>
      </c>
      <c r="H27">
        <v>19.32</v>
      </c>
      <c r="I27">
        <v>22.6</v>
      </c>
      <c r="K27">
        <v>13.55</v>
      </c>
      <c r="L27">
        <v>21.79</v>
      </c>
      <c r="M27">
        <v>20.13</v>
      </c>
      <c r="N27">
        <v>19.2</v>
      </c>
      <c r="O27">
        <v>21.57</v>
      </c>
      <c r="P27">
        <v>23.17</v>
      </c>
      <c r="Q27">
        <v>13</v>
      </c>
      <c r="R27">
        <v>17.61</v>
      </c>
      <c r="S27">
        <v>13.67</v>
      </c>
      <c r="U27">
        <v>13.64</v>
      </c>
      <c r="V27">
        <v>16.84</v>
      </c>
      <c r="W27">
        <v>15.47</v>
      </c>
      <c r="X27">
        <v>13.55</v>
      </c>
      <c r="Y27">
        <v>22.35</v>
      </c>
      <c r="Z27">
        <v>14.45</v>
      </c>
      <c r="AA27">
        <v>206.95</v>
      </c>
      <c r="AB27">
        <v>770.25</v>
      </c>
      <c r="AC27">
        <v>2.83</v>
      </c>
      <c r="AD27">
        <v>4.99</v>
      </c>
      <c r="AE27">
        <v>34.119999999999997</v>
      </c>
      <c r="AF27">
        <v>2.14</v>
      </c>
      <c r="AG27">
        <v>2.2400000000000002</v>
      </c>
      <c r="AH27">
        <v>-1892.58</v>
      </c>
      <c r="AJ27">
        <v>-17988.509999999998</v>
      </c>
      <c r="AL27">
        <v>125.1</v>
      </c>
      <c r="AM27">
        <v>4.3600000000000003</v>
      </c>
      <c r="AN27">
        <v>7.42</v>
      </c>
      <c r="AO27">
        <v>13.94</v>
      </c>
      <c r="AP27">
        <v>4.26</v>
      </c>
      <c r="AQ27">
        <v>115.17</v>
      </c>
      <c r="AR27">
        <v>7.13</v>
      </c>
      <c r="AS27">
        <v>-12795.69</v>
      </c>
      <c r="AT27">
        <v>2.95</v>
      </c>
      <c r="AU27">
        <v>10.16</v>
      </c>
      <c r="AV27">
        <v>10.42</v>
      </c>
      <c r="AW27">
        <v>14.37</v>
      </c>
      <c r="AX27">
        <v>0</v>
      </c>
      <c r="AY27">
        <v>13.55</v>
      </c>
      <c r="AZ27">
        <v>13.64</v>
      </c>
      <c r="BA27">
        <v>12.82</v>
      </c>
      <c r="BB27">
        <v>13.72</v>
      </c>
    </row>
    <row r="28" spans="1:55" x14ac:dyDescent="0.2">
      <c r="A28" s="113" t="s">
        <v>48</v>
      </c>
      <c r="C28">
        <v>22.4</v>
      </c>
      <c r="E28">
        <v>24.85</v>
      </c>
      <c r="F28">
        <v>23.26</v>
      </c>
      <c r="H28">
        <v>17.670000000000002</v>
      </c>
      <c r="I28">
        <v>22.61</v>
      </c>
      <c r="K28">
        <v>13.55</v>
      </c>
      <c r="L28">
        <v>17.66</v>
      </c>
      <c r="M28">
        <v>18.48</v>
      </c>
      <c r="N28">
        <v>18.399999999999999</v>
      </c>
      <c r="O28">
        <v>20.78</v>
      </c>
      <c r="P28">
        <v>17.63</v>
      </c>
      <c r="Q28">
        <v>15.38</v>
      </c>
      <c r="R28">
        <v>16.82</v>
      </c>
      <c r="S28">
        <v>29.43</v>
      </c>
      <c r="U28">
        <v>15.98</v>
      </c>
      <c r="V28">
        <v>17.670000000000002</v>
      </c>
      <c r="W28">
        <v>14.66</v>
      </c>
      <c r="X28">
        <v>13.55</v>
      </c>
      <c r="Y28">
        <v>27.87</v>
      </c>
      <c r="Z28">
        <v>13.67</v>
      </c>
      <c r="AA28">
        <v>180.13</v>
      </c>
      <c r="AB28">
        <v>1409.1</v>
      </c>
      <c r="AC28">
        <v>0</v>
      </c>
      <c r="AD28">
        <v>1275.3399999999999</v>
      </c>
      <c r="AE28">
        <v>41.54</v>
      </c>
      <c r="AF28">
        <v>1.43</v>
      </c>
      <c r="AG28">
        <v>9754.07</v>
      </c>
      <c r="AH28">
        <v>-1886.91</v>
      </c>
      <c r="AJ28">
        <v>-16871.88</v>
      </c>
      <c r="AL28">
        <v>4176.55</v>
      </c>
      <c r="AM28">
        <v>2811.18</v>
      </c>
      <c r="AN28">
        <v>225.34</v>
      </c>
      <c r="AO28">
        <v>6.29</v>
      </c>
      <c r="AP28">
        <v>0</v>
      </c>
      <c r="AQ28">
        <v>90.31</v>
      </c>
      <c r="AR28">
        <v>0</v>
      </c>
      <c r="AS28">
        <v>-12795.69</v>
      </c>
      <c r="AT28">
        <v>2.96</v>
      </c>
      <c r="AU28">
        <v>10.16</v>
      </c>
      <c r="AV28">
        <v>20.420000000000002</v>
      </c>
      <c r="AW28">
        <v>13.55</v>
      </c>
      <c r="AX28">
        <v>0</v>
      </c>
      <c r="AY28">
        <v>13.55</v>
      </c>
      <c r="AZ28">
        <v>19.440000000000001</v>
      </c>
      <c r="BA28">
        <v>17.329999999999998</v>
      </c>
      <c r="BB28">
        <v>23.97</v>
      </c>
    </row>
    <row r="29" spans="1:55" x14ac:dyDescent="0.2">
      <c r="A29" s="113" t="s">
        <v>49</v>
      </c>
      <c r="C29">
        <v>21.62</v>
      </c>
      <c r="E29">
        <v>26.43</v>
      </c>
      <c r="F29">
        <v>24.85</v>
      </c>
      <c r="H29">
        <v>15.19</v>
      </c>
      <c r="I29">
        <v>23.41</v>
      </c>
      <c r="K29">
        <v>13.55</v>
      </c>
      <c r="L29">
        <v>18.48</v>
      </c>
      <c r="M29">
        <v>20.13</v>
      </c>
      <c r="N29">
        <v>19.2</v>
      </c>
      <c r="O29">
        <v>20.78</v>
      </c>
      <c r="P29">
        <v>17.64</v>
      </c>
      <c r="Q29">
        <v>15.38</v>
      </c>
      <c r="R29">
        <v>16.05</v>
      </c>
      <c r="S29">
        <v>141.56</v>
      </c>
      <c r="U29">
        <v>18.309999999999999</v>
      </c>
      <c r="V29">
        <v>16.850000000000001</v>
      </c>
      <c r="W29">
        <v>14.66</v>
      </c>
      <c r="X29">
        <v>13.55</v>
      </c>
      <c r="Y29">
        <v>19.2</v>
      </c>
      <c r="Z29">
        <v>14.45</v>
      </c>
      <c r="AA29">
        <v>252.03</v>
      </c>
      <c r="AB29">
        <v>899.29</v>
      </c>
      <c r="AC29">
        <v>11962.64</v>
      </c>
      <c r="AD29">
        <v>6229.37</v>
      </c>
      <c r="AE29">
        <v>54.73</v>
      </c>
      <c r="AF29">
        <v>8670.31</v>
      </c>
      <c r="AG29">
        <v>27115.47</v>
      </c>
      <c r="AH29">
        <v>11215.6</v>
      </c>
      <c r="AJ29">
        <v>-5147.8100000000004</v>
      </c>
      <c r="AL29">
        <v>11497.1</v>
      </c>
      <c r="AM29">
        <v>73220.12</v>
      </c>
      <c r="AN29">
        <v>36800.58</v>
      </c>
      <c r="AO29">
        <v>23678</v>
      </c>
      <c r="AP29">
        <v>8654.14</v>
      </c>
      <c r="AQ29">
        <v>6859.18</v>
      </c>
      <c r="AR29">
        <v>8580.14</v>
      </c>
      <c r="AS29">
        <v>-3411.09</v>
      </c>
      <c r="AT29">
        <v>21193.8</v>
      </c>
      <c r="AU29">
        <v>10.16</v>
      </c>
      <c r="AV29">
        <v>28.21</v>
      </c>
      <c r="AW29">
        <v>14.37</v>
      </c>
      <c r="AX29">
        <v>1658.32</v>
      </c>
      <c r="AY29">
        <v>13.55</v>
      </c>
      <c r="AZ29">
        <v>15.98</v>
      </c>
      <c r="BA29">
        <v>38382.910000000003</v>
      </c>
      <c r="BB29">
        <v>19.25</v>
      </c>
    </row>
    <row r="30" spans="1:55" x14ac:dyDescent="0.2">
      <c r="A30" s="113" t="s">
        <v>50</v>
      </c>
      <c r="C30">
        <v>25.57</v>
      </c>
      <c r="E30">
        <v>28.08</v>
      </c>
      <c r="F30">
        <v>23.31</v>
      </c>
      <c r="H30">
        <v>15.05</v>
      </c>
      <c r="I30">
        <v>68.61</v>
      </c>
      <c r="K30">
        <v>34.229999999999997</v>
      </c>
      <c r="L30">
        <v>19.350000000000001</v>
      </c>
      <c r="M30">
        <v>19.350000000000001</v>
      </c>
      <c r="N30">
        <v>18.43</v>
      </c>
      <c r="O30">
        <v>35.880000000000003</v>
      </c>
      <c r="P30">
        <v>17.75</v>
      </c>
      <c r="Q30">
        <v>42.33</v>
      </c>
      <c r="R30">
        <v>58.88</v>
      </c>
      <c r="S30">
        <v>250.72</v>
      </c>
      <c r="U30">
        <v>22.35</v>
      </c>
      <c r="V30">
        <v>26.98</v>
      </c>
      <c r="W30">
        <v>16.850000000000001</v>
      </c>
      <c r="X30">
        <v>13.55</v>
      </c>
      <c r="Y30">
        <v>226.14</v>
      </c>
      <c r="Z30">
        <v>35.880000000000003</v>
      </c>
      <c r="AA30">
        <v>942.81</v>
      </c>
      <c r="AB30">
        <v>1102.18</v>
      </c>
      <c r="AC30">
        <v>5000.3500000000004</v>
      </c>
      <c r="AD30">
        <v>14759.91</v>
      </c>
      <c r="AE30">
        <v>59.87</v>
      </c>
      <c r="AF30">
        <v>33247.96</v>
      </c>
      <c r="AG30">
        <v>25176.32</v>
      </c>
      <c r="AH30">
        <v>55978.8</v>
      </c>
      <c r="AJ30">
        <v>6049.51</v>
      </c>
      <c r="AL30">
        <v>7174</v>
      </c>
      <c r="AM30">
        <v>97882.52</v>
      </c>
      <c r="AN30">
        <v>39912.85</v>
      </c>
      <c r="AO30">
        <v>40955.32</v>
      </c>
      <c r="AP30">
        <v>47204.47</v>
      </c>
      <c r="AQ30">
        <v>38000.92</v>
      </c>
      <c r="AR30">
        <v>33729.72</v>
      </c>
      <c r="AS30">
        <v>13003.46</v>
      </c>
      <c r="AT30">
        <v>28655.54</v>
      </c>
      <c r="AU30">
        <v>10.16</v>
      </c>
      <c r="AV30">
        <v>37.130000000000003</v>
      </c>
      <c r="AW30">
        <v>42.6</v>
      </c>
      <c r="AX30">
        <v>23964.71</v>
      </c>
      <c r="AY30">
        <v>28.38</v>
      </c>
      <c r="AZ30">
        <v>15.62</v>
      </c>
      <c r="BA30">
        <v>78655.039999999994</v>
      </c>
      <c r="BB30">
        <v>19.260000000000002</v>
      </c>
    </row>
    <row r="31" spans="1:55" x14ac:dyDescent="0.2">
      <c r="A31" s="113" t="s">
        <v>51</v>
      </c>
      <c r="C31">
        <v>30.18</v>
      </c>
      <c r="E31">
        <v>29.23</v>
      </c>
      <c r="F31">
        <v>258.52999999999997</v>
      </c>
      <c r="H31">
        <v>17.36</v>
      </c>
      <c r="I31">
        <v>842.31</v>
      </c>
      <c r="K31">
        <v>132.69</v>
      </c>
      <c r="L31">
        <v>20.46</v>
      </c>
      <c r="M31">
        <v>151.13999999999999</v>
      </c>
      <c r="N31">
        <v>46.1</v>
      </c>
      <c r="O31">
        <v>110.99</v>
      </c>
      <c r="P31">
        <v>20.98</v>
      </c>
      <c r="Q31">
        <v>408.21</v>
      </c>
      <c r="R31">
        <v>156.69999999999999</v>
      </c>
      <c r="S31">
        <v>542.36</v>
      </c>
      <c r="U31">
        <v>17.57</v>
      </c>
      <c r="V31">
        <v>254.56</v>
      </c>
      <c r="W31">
        <v>16.7</v>
      </c>
      <c r="X31">
        <v>13.55</v>
      </c>
      <c r="Y31">
        <v>871.94</v>
      </c>
      <c r="Z31">
        <v>203.17</v>
      </c>
      <c r="AA31">
        <v>2921.71</v>
      </c>
      <c r="AB31">
        <v>1897.09</v>
      </c>
      <c r="AC31">
        <v>1644.34</v>
      </c>
      <c r="AD31">
        <v>3704.1</v>
      </c>
      <c r="AE31">
        <v>144.99</v>
      </c>
      <c r="AF31">
        <v>14766.74</v>
      </c>
      <c r="AG31">
        <v>5308.11</v>
      </c>
      <c r="AH31">
        <v>25869.48</v>
      </c>
      <c r="AJ31">
        <v>3683.73</v>
      </c>
      <c r="AL31">
        <v>672.26</v>
      </c>
      <c r="AM31">
        <v>30495.46</v>
      </c>
      <c r="AN31">
        <v>7657.44</v>
      </c>
      <c r="AO31">
        <v>6478.76</v>
      </c>
      <c r="AP31">
        <v>59889.760000000002</v>
      </c>
      <c r="AQ31">
        <v>13743.56</v>
      </c>
      <c r="AR31">
        <v>8588.2000000000007</v>
      </c>
      <c r="AS31">
        <v>4561.0200000000004</v>
      </c>
      <c r="AT31">
        <v>3836.69</v>
      </c>
      <c r="AU31">
        <v>10.16</v>
      </c>
      <c r="AV31">
        <v>18.5</v>
      </c>
      <c r="AW31">
        <v>196.24</v>
      </c>
      <c r="AX31">
        <v>19033.36</v>
      </c>
      <c r="AY31">
        <v>127.29</v>
      </c>
      <c r="AZ31">
        <v>19.82</v>
      </c>
      <c r="BA31">
        <v>14906.38</v>
      </c>
      <c r="BB31">
        <v>60.14</v>
      </c>
    </row>
    <row r="32" spans="1:55" x14ac:dyDescent="0.2">
      <c r="A32" s="113" t="s">
        <v>52</v>
      </c>
      <c r="C32">
        <v>107.86</v>
      </c>
      <c r="E32">
        <v>33.229999999999997</v>
      </c>
      <c r="F32">
        <v>368.79</v>
      </c>
      <c r="H32">
        <v>36.49</v>
      </c>
      <c r="I32">
        <v>776.56</v>
      </c>
      <c r="K32">
        <v>209.26</v>
      </c>
      <c r="L32">
        <v>19.79</v>
      </c>
      <c r="M32">
        <v>343.37</v>
      </c>
      <c r="N32">
        <v>268.27999999999997</v>
      </c>
      <c r="O32">
        <v>200.54</v>
      </c>
      <c r="P32">
        <v>69.3</v>
      </c>
      <c r="Q32">
        <v>487.94</v>
      </c>
      <c r="R32">
        <v>181.9</v>
      </c>
      <c r="S32">
        <v>822.9</v>
      </c>
      <c r="U32">
        <v>18.850000000000001</v>
      </c>
      <c r="V32">
        <v>423.52</v>
      </c>
      <c r="W32">
        <v>18.25</v>
      </c>
      <c r="X32">
        <v>13.55</v>
      </c>
      <c r="Y32">
        <v>1422.55</v>
      </c>
      <c r="Z32">
        <v>347.93</v>
      </c>
      <c r="AA32">
        <v>4556.68</v>
      </c>
      <c r="AB32">
        <v>1600.84</v>
      </c>
      <c r="AC32">
        <v>78.53</v>
      </c>
      <c r="AD32">
        <v>0</v>
      </c>
      <c r="AE32">
        <v>172.85</v>
      </c>
      <c r="AF32">
        <v>1030.19</v>
      </c>
      <c r="AH32">
        <v>145.26</v>
      </c>
      <c r="AJ32">
        <v>227.72</v>
      </c>
      <c r="AL32">
        <v>1805.69</v>
      </c>
      <c r="AM32">
        <v>11437.52</v>
      </c>
      <c r="AN32">
        <v>2649.49</v>
      </c>
      <c r="AO32">
        <v>404.63</v>
      </c>
      <c r="AP32">
        <v>7157.37</v>
      </c>
      <c r="AQ32">
        <v>298.35000000000002</v>
      </c>
      <c r="AR32">
        <v>0</v>
      </c>
      <c r="AS32">
        <v>145.24</v>
      </c>
      <c r="AU32">
        <v>10.16</v>
      </c>
      <c r="AV32">
        <v>11.45</v>
      </c>
      <c r="AW32">
        <v>343.27</v>
      </c>
      <c r="AX32">
        <v>151.55000000000001</v>
      </c>
      <c r="AY32">
        <v>423.36</v>
      </c>
      <c r="AZ32">
        <v>30.44</v>
      </c>
      <c r="BA32">
        <v>6401.62</v>
      </c>
      <c r="BB32">
        <v>170.87</v>
      </c>
    </row>
    <row r="33" spans="1:55" ht="13.5" thickBot="1" x14ac:dyDescent="0.25">
      <c r="A33" s="106" t="s">
        <v>58</v>
      </c>
      <c r="B33" s="116">
        <f>SUM(B21:B32)</f>
        <v>0</v>
      </c>
      <c r="C33" s="116">
        <f>SUM(C21:C32)</f>
        <v>460.87</v>
      </c>
      <c r="D33" s="116"/>
      <c r="E33" s="116">
        <f t="shared" ref="E33:AY33" si="5">SUM(E21:E32)</f>
        <v>416.63000000000005</v>
      </c>
      <c r="F33" s="116">
        <f t="shared" si="5"/>
        <v>1573.5099999999998</v>
      </c>
      <c r="G33" s="117">
        <f t="shared" si="5"/>
        <v>0</v>
      </c>
      <c r="H33" s="116">
        <f t="shared" si="5"/>
        <v>931.98000000000013</v>
      </c>
      <c r="I33" s="117">
        <f t="shared" si="5"/>
        <v>3812.99</v>
      </c>
      <c r="J33" s="118">
        <f t="shared" si="5"/>
        <v>0</v>
      </c>
      <c r="K33" s="117">
        <f t="shared" si="5"/>
        <v>1045.6599999999999</v>
      </c>
      <c r="L33" s="117">
        <f t="shared" si="5"/>
        <v>238.39999999999998</v>
      </c>
      <c r="M33" s="117">
        <f t="shared" si="5"/>
        <v>1513.3600000000001</v>
      </c>
      <c r="N33" s="117">
        <f t="shared" si="5"/>
        <v>679.16999999999985</v>
      </c>
      <c r="O33" s="119">
        <f t="shared" si="5"/>
        <v>979.16999999999985</v>
      </c>
      <c r="P33" s="117">
        <f t="shared" si="5"/>
        <v>658.06999999999994</v>
      </c>
      <c r="Q33" s="119">
        <f t="shared" si="5"/>
        <v>2997.7000000000003</v>
      </c>
      <c r="R33" s="119">
        <f t="shared" si="5"/>
        <v>1007.3099999999998</v>
      </c>
      <c r="S33" s="119">
        <f t="shared" si="5"/>
        <v>3521.55</v>
      </c>
      <c r="T33" s="117">
        <f t="shared" si="5"/>
        <v>0</v>
      </c>
      <c r="U33" s="119">
        <f t="shared" si="5"/>
        <v>203.51999999999998</v>
      </c>
      <c r="V33" s="119">
        <f t="shared" si="5"/>
        <v>1854.3</v>
      </c>
      <c r="W33" s="117">
        <f t="shared" si="5"/>
        <v>330.84000000000009</v>
      </c>
      <c r="X33" s="119">
        <f t="shared" si="5"/>
        <v>162.60000000000002</v>
      </c>
      <c r="Y33" s="119">
        <f t="shared" si="5"/>
        <v>6631.9300000000012</v>
      </c>
      <c r="Z33" s="119">
        <f t="shared" si="5"/>
        <v>1448.9</v>
      </c>
      <c r="AA33" s="119">
        <f t="shared" si="5"/>
        <v>20108.320000000003</v>
      </c>
      <c r="AB33" s="119">
        <f t="shared" si="5"/>
        <v>28835.03</v>
      </c>
      <c r="AC33" s="119">
        <f>SUM(AC21:AC32)</f>
        <v>18760.249999999996</v>
      </c>
      <c r="AD33" s="119">
        <f>SUM(AD21:AD32)</f>
        <v>25973.71</v>
      </c>
      <c r="AE33" s="119"/>
      <c r="AF33" s="119">
        <f>SUM(AF21:AF32)</f>
        <v>57801.409999999996</v>
      </c>
      <c r="AG33" s="119">
        <f>SUM(AG21:AG32)</f>
        <v>67433.929999999993</v>
      </c>
      <c r="AH33" s="119">
        <f>SUM(AH21:AH32)</f>
        <v>77239.539999999994</v>
      </c>
      <c r="AI33" s="119">
        <f>SUM(AI21:AI32)</f>
        <v>0</v>
      </c>
      <c r="AJ33" s="119">
        <f>SUM(AJ21:AJ32)</f>
        <v>-139989.68999999997</v>
      </c>
      <c r="AK33" s="119">
        <f t="shared" si="5"/>
        <v>0</v>
      </c>
      <c r="AL33" s="119">
        <f t="shared" si="5"/>
        <v>25512.39</v>
      </c>
      <c r="AM33" s="117">
        <f t="shared" si="5"/>
        <v>216113.33999999997</v>
      </c>
      <c r="AN33" s="117">
        <f t="shared" si="5"/>
        <v>88605.07</v>
      </c>
      <c r="AO33" s="119">
        <f t="shared" si="5"/>
        <v>71566.790000000008</v>
      </c>
      <c r="AP33" s="119">
        <f t="shared" si="5"/>
        <v>123194.66</v>
      </c>
      <c r="AQ33" s="119">
        <f t="shared" si="5"/>
        <v>60263.579999999994</v>
      </c>
      <c r="AR33" s="119">
        <f t="shared" si="5"/>
        <v>50999.05</v>
      </c>
      <c r="AS33" s="119">
        <f t="shared" si="5"/>
        <v>-88679.44</v>
      </c>
      <c r="AT33" s="119">
        <f t="shared" si="5"/>
        <v>53775.51</v>
      </c>
      <c r="AU33" s="119">
        <f t="shared" si="5"/>
        <v>121.91999999999997</v>
      </c>
      <c r="AV33" s="119">
        <f t="shared" si="5"/>
        <v>192.76</v>
      </c>
      <c r="AW33" s="119">
        <f t="shared" si="5"/>
        <v>1123.05</v>
      </c>
      <c r="AX33" s="119">
        <f>SUM(AX21:AX32)</f>
        <v>44849.919999999998</v>
      </c>
      <c r="AY33" s="119">
        <f t="shared" si="5"/>
        <v>1687.4099999999999</v>
      </c>
      <c r="AZ33" s="133"/>
      <c r="BA33" s="133"/>
      <c r="BB33" s="133"/>
      <c r="BC33" s="120"/>
    </row>
    <row r="34" spans="1:55" ht="13.5" thickTop="1" x14ac:dyDescent="0.2">
      <c r="A34" s="120"/>
      <c r="B34" s="120" t="str">
        <f t="shared" ref="B34:AY34" si="6">IF(B16=0,"",(B33/B16))</f>
        <v/>
      </c>
      <c r="C34" s="120" t="str">
        <f t="shared" si="6"/>
        <v/>
      </c>
      <c r="D34" s="120" t="str">
        <f t="shared" si="6"/>
        <v/>
      </c>
      <c r="E34" s="120">
        <f t="shared" si="6"/>
        <v>11.972126436781611</v>
      </c>
      <c r="F34" s="120">
        <f t="shared" si="6"/>
        <v>8.1740779220779203</v>
      </c>
      <c r="G34" s="120" t="str">
        <f t="shared" si="6"/>
        <v/>
      </c>
      <c r="H34" s="120">
        <f t="shared" si="6"/>
        <v>9.1281096963761037</v>
      </c>
      <c r="I34" s="120">
        <f t="shared" si="6"/>
        <v>7.9338119017894293</v>
      </c>
      <c r="J34" s="120" t="str">
        <f t="shared" si="6"/>
        <v/>
      </c>
      <c r="K34" s="120">
        <f t="shared" si="6"/>
        <v>9.0847958297132916</v>
      </c>
      <c r="L34" s="120">
        <f t="shared" si="6"/>
        <v>24.833333333333332</v>
      </c>
      <c r="M34" s="120">
        <f t="shared" si="6"/>
        <v>8.5694224235560608</v>
      </c>
      <c r="N34" s="120">
        <f t="shared" si="6"/>
        <v>9.7581896551724121</v>
      </c>
      <c r="O34" s="120">
        <f t="shared" si="6"/>
        <v>8.8532549728752254</v>
      </c>
      <c r="P34" s="120">
        <f t="shared" si="6"/>
        <v>11.814542190305204</v>
      </c>
      <c r="Q34" s="120">
        <f t="shared" si="6"/>
        <v>7.7340041279669762</v>
      </c>
      <c r="R34" s="120">
        <f t="shared" si="6"/>
        <v>8.836052631578946</v>
      </c>
      <c r="S34" s="120">
        <f t="shared" si="6"/>
        <v>7.787593984962407</v>
      </c>
      <c r="T34" s="120" t="str">
        <f t="shared" si="6"/>
        <v/>
      </c>
      <c r="U34" s="120">
        <f t="shared" si="6"/>
        <v>27.502702702702699</v>
      </c>
      <c r="V34" s="120">
        <f t="shared" si="6"/>
        <v>8.3602344454463466</v>
      </c>
      <c r="W34" s="120">
        <f t="shared" si="6"/>
        <v>13.785000000000004</v>
      </c>
      <c r="X34" s="120" t="str">
        <f t="shared" si="6"/>
        <v/>
      </c>
      <c r="Y34" s="120">
        <f t="shared" si="6"/>
        <v>7.4844035661889192</v>
      </c>
      <c r="Z34" s="120">
        <f t="shared" si="6"/>
        <v>8.2747001713306698</v>
      </c>
      <c r="AA34" s="120">
        <f t="shared" si="6"/>
        <v>7.2431092860744917</v>
      </c>
      <c r="AB34" s="120">
        <f t="shared" si="6"/>
        <v>7.466539786115642</v>
      </c>
      <c r="AC34" s="120">
        <f t="shared" si="6"/>
        <v>12.596689720002685</v>
      </c>
      <c r="AD34" s="120">
        <f t="shared" si="6"/>
        <v>6.3085859321869231</v>
      </c>
      <c r="AE34" s="120" t="str">
        <f t="shared" si="6"/>
        <v/>
      </c>
      <c r="AF34" s="120">
        <f t="shared" si="6"/>
        <v>6.125171935104432</v>
      </c>
      <c r="AG34" s="120">
        <f t="shared" si="6"/>
        <v>6.4918344163658235</v>
      </c>
      <c r="AH34" s="120">
        <f t="shared" si="6"/>
        <v>4.7002987908403258</v>
      </c>
      <c r="AI34" s="120" t="str">
        <f t="shared" si="6"/>
        <v/>
      </c>
      <c r="AJ34" s="120">
        <f t="shared" si="6"/>
        <v>-32.75072290847838</v>
      </c>
      <c r="AK34" s="120" t="str">
        <f t="shared" si="6"/>
        <v/>
      </c>
      <c r="AL34" s="120">
        <f t="shared" si="6"/>
        <v>6.531088242070501</v>
      </c>
      <c r="AM34" s="120">
        <f t="shared" si="6"/>
        <v>6.4182866816150144</v>
      </c>
      <c r="AN34" s="120">
        <f t="shared" si="6"/>
        <v>6.1431898386638295</v>
      </c>
      <c r="AO34" s="120">
        <f t="shared" si="6"/>
        <v>5.722276060031823</v>
      </c>
      <c r="AP34" s="120">
        <f t="shared" si="6"/>
        <v>6.1925535337287627</v>
      </c>
      <c r="AQ34" s="120">
        <f t="shared" si="6"/>
        <v>6.0605394424554477</v>
      </c>
      <c r="AR34" s="120">
        <f t="shared" si="6"/>
        <v>6.0311794131907908</v>
      </c>
      <c r="AS34" s="120">
        <f t="shared" si="6"/>
        <v>-18.591857100926664</v>
      </c>
      <c r="AT34" s="120">
        <f t="shared" si="6"/>
        <v>6.5844069498353148</v>
      </c>
      <c r="AU34" s="120" t="str">
        <f t="shared" si="6"/>
        <v/>
      </c>
      <c r="AV34" s="120">
        <f t="shared" si="6"/>
        <v>31.090322580645157</v>
      </c>
      <c r="AW34" s="120">
        <f t="shared" si="6"/>
        <v>8.913095238095238</v>
      </c>
      <c r="AX34" s="120">
        <f t="shared" si="6"/>
        <v>6.2395548135781853</v>
      </c>
      <c r="AY34" s="120">
        <f t="shared" si="6"/>
        <v>8.3082717872968974</v>
      </c>
      <c r="AZ34" s="120"/>
      <c r="BA34" s="120"/>
      <c r="BB34" s="120"/>
      <c r="BC34" s="120"/>
    </row>
  </sheetData>
  <phoneticPr fontId="17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32"/>
  <sheetViews>
    <sheetView topLeftCell="AF1" workbookViewId="0">
      <selection activeCell="AP2" sqref="AP2"/>
    </sheetView>
  </sheetViews>
  <sheetFormatPr defaultRowHeight="12.75" x14ac:dyDescent="0.2"/>
  <cols>
    <col min="1" max="1" width="19.42578125" bestFit="1" customWidth="1"/>
    <col min="2" max="5" width="9.5703125" bestFit="1" customWidth="1"/>
    <col min="6" max="6" width="9.7109375" bestFit="1" customWidth="1"/>
    <col min="7" max="7" width="9.5703125" bestFit="1" customWidth="1"/>
    <col min="8" max="9" width="9.7109375" bestFit="1" customWidth="1"/>
    <col min="10" max="10" width="9.5703125" bestFit="1" customWidth="1"/>
    <col min="11" max="11" width="9.7109375" bestFit="1" customWidth="1"/>
    <col min="12" max="12" width="9.5703125" bestFit="1" customWidth="1"/>
    <col min="13" max="13" width="9.7109375" bestFit="1" customWidth="1"/>
    <col min="14" max="14" width="9.5703125" bestFit="1" customWidth="1"/>
    <col min="15" max="19" width="9.7109375" bestFit="1" customWidth="1"/>
    <col min="20" max="21" width="9.5703125" bestFit="1" customWidth="1"/>
    <col min="22" max="22" width="9.7109375" bestFit="1" customWidth="1"/>
    <col min="23" max="23" width="9.5703125" bestFit="1" customWidth="1"/>
    <col min="24" max="24" width="10.28515625" bestFit="1" customWidth="1"/>
    <col min="25" max="26" width="9.7109375" bestFit="1" customWidth="1"/>
    <col min="27" max="28" width="10.7109375" bestFit="1" customWidth="1"/>
    <col min="29" max="29" width="12.140625" bestFit="1" customWidth="1"/>
    <col min="30" max="30" width="10.7109375" bestFit="1" customWidth="1"/>
    <col min="31" max="31" width="9.5703125" bestFit="1" customWidth="1"/>
    <col min="32" max="32" width="12.140625" bestFit="1" customWidth="1"/>
    <col min="33" max="33" width="10.7109375" bestFit="1" customWidth="1"/>
    <col min="34" max="35" width="13.5703125" bestFit="1" customWidth="1"/>
    <col min="36" max="36" width="14.28515625" bestFit="1" customWidth="1"/>
    <col min="37" max="37" width="9.5703125" bestFit="1" customWidth="1"/>
    <col min="38" max="38" width="12.140625" bestFit="1" customWidth="1"/>
    <col min="39" max="40" width="13.5703125" bestFit="1" customWidth="1"/>
    <col min="41" max="41" width="12.140625" bestFit="1" customWidth="1"/>
    <col min="42" max="42" width="13.5703125" bestFit="1" customWidth="1"/>
    <col min="43" max="43" width="12.140625" bestFit="1" customWidth="1"/>
    <col min="44" max="44" width="13.5703125" bestFit="1" customWidth="1"/>
    <col min="45" max="45" width="11.28515625" bestFit="1" customWidth="1"/>
    <col min="46" max="46" width="12.140625" bestFit="1" customWidth="1"/>
    <col min="47" max="49" width="9.5703125" bestFit="1" customWidth="1"/>
    <col min="50" max="50" width="12.140625" bestFit="1" customWidth="1"/>
    <col min="51" max="51" width="9.7109375" bestFit="1" customWidth="1"/>
    <col min="52" max="52" width="9.7109375" customWidth="1"/>
    <col min="53" max="53" width="10.42578125" customWidth="1"/>
    <col min="54" max="54" width="9.7109375" customWidth="1"/>
    <col min="55" max="55" width="14.140625" customWidth="1"/>
  </cols>
  <sheetData>
    <row r="1" spans="1:55" x14ac:dyDescent="0.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V1" s="3"/>
      <c r="X1" s="2"/>
      <c r="Y1" s="3"/>
      <c r="AA1" s="2"/>
      <c r="AB1" s="3"/>
      <c r="AD1" s="2"/>
      <c r="AE1" s="2"/>
      <c r="AF1" s="2"/>
      <c r="AG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5" x14ac:dyDescent="0.2">
      <c r="A2" s="1" t="s">
        <v>64</v>
      </c>
      <c r="B2" s="47">
        <v>594386</v>
      </c>
      <c r="C2" s="26">
        <v>1588956</v>
      </c>
      <c r="D2" s="26"/>
      <c r="E2" s="48">
        <v>33513</v>
      </c>
      <c r="F2" s="48">
        <v>33514</v>
      </c>
      <c r="G2" s="48">
        <v>105744</v>
      </c>
      <c r="H2" s="49">
        <v>263686</v>
      </c>
      <c r="I2" s="26">
        <v>263691</v>
      </c>
      <c r="J2" s="48">
        <v>263754</v>
      </c>
      <c r="K2" s="48">
        <v>539243</v>
      </c>
      <c r="L2" s="26">
        <v>539246</v>
      </c>
      <c r="M2" s="26">
        <v>574126</v>
      </c>
      <c r="N2" s="26">
        <v>637887</v>
      </c>
      <c r="O2" s="26">
        <v>637888</v>
      </c>
      <c r="P2" s="26">
        <v>637889</v>
      </c>
      <c r="Q2" s="26">
        <v>637890</v>
      </c>
      <c r="R2" s="26">
        <v>637892</v>
      </c>
      <c r="S2" s="26">
        <v>647598</v>
      </c>
      <c r="T2" s="26">
        <v>647856</v>
      </c>
      <c r="U2" s="26">
        <v>687022</v>
      </c>
      <c r="V2" s="26">
        <v>687023</v>
      </c>
      <c r="W2" s="26">
        <v>687831</v>
      </c>
      <c r="X2" s="26">
        <v>740818</v>
      </c>
      <c r="Y2" s="26">
        <v>740824</v>
      </c>
      <c r="Z2" s="26">
        <v>740838</v>
      </c>
      <c r="AA2" s="26">
        <v>740876</v>
      </c>
      <c r="AB2" s="26">
        <v>740882</v>
      </c>
      <c r="AC2" s="50">
        <v>741089</v>
      </c>
      <c r="AD2" s="50">
        <v>742815</v>
      </c>
      <c r="AE2" s="26">
        <v>742950</v>
      </c>
      <c r="AF2" s="50">
        <v>749325</v>
      </c>
      <c r="AG2" s="51">
        <v>749330</v>
      </c>
      <c r="AH2" s="50">
        <v>749334</v>
      </c>
      <c r="AI2" s="52">
        <v>749339</v>
      </c>
      <c r="AJ2" s="53">
        <v>762803</v>
      </c>
      <c r="AK2" s="54">
        <v>765933</v>
      </c>
      <c r="AL2" s="53">
        <v>868849</v>
      </c>
      <c r="AM2" s="53">
        <v>869044</v>
      </c>
      <c r="AN2" s="53">
        <v>869127</v>
      </c>
      <c r="AO2" s="53">
        <v>869308</v>
      </c>
      <c r="AP2" s="53">
        <v>869309</v>
      </c>
      <c r="AQ2" s="53">
        <v>869446</v>
      </c>
      <c r="AR2" s="53">
        <v>888353</v>
      </c>
      <c r="AS2" s="53">
        <v>888354</v>
      </c>
      <c r="AT2" s="53">
        <v>888355</v>
      </c>
      <c r="AU2" s="48">
        <v>1060882</v>
      </c>
      <c r="AV2" s="26">
        <v>1064052</v>
      </c>
      <c r="AW2" s="7" t="s">
        <v>2</v>
      </c>
      <c r="AX2" s="44">
        <v>672937</v>
      </c>
      <c r="AY2" s="7">
        <v>1342205</v>
      </c>
      <c r="AZ2" s="7">
        <v>3452105</v>
      </c>
      <c r="BA2" s="7">
        <v>9224993</v>
      </c>
      <c r="BB2" s="7">
        <v>10471</v>
      </c>
      <c r="BC2" s="1"/>
    </row>
    <row r="3" spans="1:55" ht="51" x14ac:dyDescent="0.2">
      <c r="A3" s="99">
        <v>2012</v>
      </c>
      <c r="B3" s="100" t="s">
        <v>3</v>
      </c>
      <c r="C3" s="100" t="s">
        <v>3</v>
      </c>
      <c r="D3" s="100" t="s">
        <v>3</v>
      </c>
      <c r="E3" s="101" t="s">
        <v>4</v>
      </c>
      <c r="F3" s="101" t="s">
        <v>4</v>
      </c>
      <c r="G3" s="101" t="s">
        <v>5</v>
      </c>
      <c r="H3" s="101" t="s">
        <v>6</v>
      </c>
      <c r="I3" s="101" t="s">
        <v>6</v>
      </c>
      <c r="J3" s="101" t="s">
        <v>6</v>
      </c>
      <c r="K3" s="101" t="s">
        <v>68</v>
      </c>
      <c r="L3" s="101" t="s">
        <v>8</v>
      </c>
      <c r="M3" s="101" t="s">
        <v>67</v>
      </c>
      <c r="N3" s="101" t="s">
        <v>10</v>
      </c>
      <c r="O3" s="101" t="s">
        <v>66</v>
      </c>
      <c r="P3" s="101" t="s">
        <v>65</v>
      </c>
      <c r="Q3" s="101" t="s">
        <v>63</v>
      </c>
      <c r="R3" s="101" t="s">
        <v>69</v>
      </c>
      <c r="S3" s="102" t="s">
        <v>15</v>
      </c>
      <c r="T3" s="101" t="s">
        <v>70</v>
      </c>
      <c r="U3" s="101" t="s">
        <v>71</v>
      </c>
      <c r="V3" s="101" t="s">
        <v>72</v>
      </c>
      <c r="W3" s="121" t="s">
        <v>19</v>
      </c>
      <c r="X3" s="101" t="s">
        <v>20</v>
      </c>
      <c r="Y3" s="101" t="s">
        <v>73</v>
      </c>
      <c r="Z3" s="101" t="s">
        <v>74</v>
      </c>
      <c r="AA3" s="102" t="s">
        <v>23</v>
      </c>
      <c r="AB3" s="101" t="s">
        <v>24</v>
      </c>
      <c r="AC3" s="101" t="s">
        <v>25</v>
      </c>
      <c r="AD3" s="101" t="s">
        <v>26</v>
      </c>
      <c r="AE3" s="101" t="s">
        <v>26</v>
      </c>
      <c r="AF3" s="101" t="s">
        <v>27</v>
      </c>
      <c r="AG3" s="101" t="s">
        <v>55</v>
      </c>
      <c r="AH3" s="101" t="s">
        <v>28</v>
      </c>
      <c r="AI3" s="103" t="s">
        <v>29</v>
      </c>
      <c r="AJ3" s="101" t="s">
        <v>19</v>
      </c>
      <c r="AK3" s="102" t="s">
        <v>30</v>
      </c>
      <c r="AL3" s="101" t="s">
        <v>4</v>
      </c>
      <c r="AM3" s="102" t="s">
        <v>31</v>
      </c>
      <c r="AN3" s="101" t="s">
        <v>32</v>
      </c>
      <c r="AO3" s="101" t="s">
        <v>5</v>
      </c>
      <c r="AP3" s="101" t="s">
        <v>33</v>
      </c>
      <c r="AQ3" s="101" t="s">
        <v>34</v>
      </c>
      <c r="AR3" s="101" t="s">
        <v>56</v>
      </c>
      <c r="AS3" s="101" t="s">
        <v>35</v>
      </c>
      <c r="AT3" s="101" t="s">
        <v>36</v>
      </c>
      <c r="AU3" s="101" t="s">
        <v>37</v>
      </c>
      <c r="AV3" s="104" t="s">
        <v>38</v>
      </c>
      <c r="AW3" s="85" t="s">
        <v>39</v>
      </c>
      <c r="AX3" s="104" t="s">
        <v>57</v>
      </c>
      <c r="AY3" s="104" t="s">
        <v>40</v>
      </c>
      <c r="AZ3" s="105" t="s">
        <v>75</v>
      </c>
      <c r="BA3" s="105" t="s">
        <v>76</v>
      </c>
      <c r="BB3" s="105" t="s">
        <v>77</v>
      </c>
      <c r="BC3" s="105"/>
    </row>
    <row r="4" spans="1:55" x14ac:dyDescent="0.2">
      <c r="A4" s="26" t="s">
        <v>59</v>
      </c>
      <c r="B4" s="66"/>
      <c r="C4" s="66">
        <v>29</v>
      </c>
      <c r="D4" s="86"/>
      <c r="E4" s="66">
        <v>86</v>
      </c>
      <c r="F4" s="66">
        <v>412</v>
      </c>
      <c r="G4" s="86"/>
      <c r="H4" s="66">
        <v>321</v>
      </c>
      <c r="I4" s="66">
        <v>959</v>
      </c>
      <c r="J4" s="86"/>
      <c r="K4" s="66">
        <v>169</v>
      </c>
      <c r="L4" s="66">
        <v>10</v>
      </c>
      <c r="M4" s="66">
        <v>292</v>
      </c>
      <c r="N4" s="66">
        <v>46</v>
      </c>
      <c r="O4" s="66">
        <v>240</v>
      </c>
      <c r="P4" s="66">
        <v>104</v>
      </c>
      <c r="Q4" s="66">
        <v>424</v>
      </c>
      <c r="R4" s="66">
        <v>190</v>
      </c>
      <c r="S4" s="66">
        <v>803</v>
      </c>
      <c r="T4" s="87"/>
      <c r="U4" s="66">
        <v>18</v>
      </c>
      <c r="V4" s="66">
        <v>309</v>
      </c>
      <c r="W4" s="66">
        <v>46</v>
      </c>
      <c r="X4" s="88">
        <v>0</v>
      </c>
      <c r="Y4" s="66">
        <v>1488</v>
      </c>
      <c r="Z4" s="66">
        <v>251</v>
      </c>
      <c r="AA4" s="66">
        <v>3780</v>
      </c>
      <c r="AB4" s="66">
        <v>2425</v>
      </c>
      <c r="AC4" s="66">
        <v>12</v>
      </c>
      <c r="AD4" s="66">
        <v>0</v>
      </c>
      <c r="AE4" s="66">
        <v>196</v>
      </c>
      <c r="AF4" s="89">
        <v>0</v>
      </c>
      <c r="AG4" s="66">
        <v>5</v>
      </c>
      <c r="AH4" s="66">
        <v>436</v>
      </c>
      <c r="AI4" s="86">
        <v>0</v>
      </c>
      <c r="AJ4" s="66">
        <v>152</v>
      </c>
      <c r="AK4" s="66"/>
      <c r="AL4" s="66">
        <v>0</v>
      </c>
      <c r="AM4" s="86">
        <v>3147</v>
      </c>
      <c r="AN4" s="86">
        <v>400</v>
      </c>
      <c r="AO4" s="86">
        <v>0</v>
      </c>
      <c r="AP4" s="86">
        <v>33</v>
      </c>
      <c r="AQ4" s="66">
        <v>310</v>
      </c>
      <c r="AR4" s="66">
        <v>0</v>
      </c>
      <c r="AS4" s="90">
        <v>159</v>
      </c>
      <c r="AT4" s="86">
        <v>0</v>
      </c>
      <c r="AU4" s="86">
        <v>0</v>
      </c>
      <c r="AV4" s="86">
        <v>1</v>
      </c>
      <c r="AW4" s="86">
        <v>229</v>
      </c>
      <c r="AX4" s="86">
        <v>0</v>
      </c>
      <c r="AY4" s="66">
        <v>683</v>
      </c>
      <c r="AZ4" s="66">
        <v>18</v>
      </c>
      <c r="BA4" s="66">
        <v>210</v>
      </c>
      <c r="BB4" s="66">
        <v>139</v>
      </c>
    </row>
    <row r="5" spans="1:55" x14ac:dyDescent="0.2">
      <c r="A5" s="25" t="s">
        <v>42</v>
      </c>
      <c r="B5" s="66"/>
      <c r="C5" s="66">
        <v>20</v>
      </c>
      <c r="D5" s="86"/>
      <c r="E5" s="66">
        <v>46</v>
      </c>
      <c r="F5" s="66">
        <v>267</v>
      </c>
      <c r="G5" s="86"/>
      <c r="H5" s="66">
        <v>318</v>
      </c>
      <c r="I5" s="66">
        <v>891</v>
      </c>
      <c r="J5" s="86"/>
      <c r="K5" s="66">
        <v>147</v>
      </c>
      <c r="L5" s="66">
        <v>12</v>
      </c>
      <c r="M5" s="66">
        <v>240</v>
      </c>
      <c r="N5" s="66">
        <v>47</v>
      </c>
      <c r="O5" s="66">
        <v>161</v>
      </c>
      <c r="P5" s="66">
        <v>99</v>
      </c>
      <c r="Q5" s="66">
        <v>483</v>
      </c>
      <c r="R5" s="66">
        <v>184</v>
      </c>
      <c r="S5" s="66">
        <v>688</v>
      </c>
      <c r="T5" s="87"/>
      <c r="U5" s="66">
        <v>18</v>
      </c>
      <c r="V5" s="66">
        <v>336</v>
      </c>
      <c r="W5" s="66">
        <v>5</v>
      </c>
      <c r="X5" s="88">
        <v>0</v>
      </c>
      <c r="Y5" s="66">
        <v>1217</v>
      </c>
      <c r="Z5" s="66">
        <v>207</v>
      </c>
      <c r="AA5" s="66">
        <v>3090</v>
      </c>
      <c r="AB5" s="66">
        <v>2203</v>
      </c>
      <c r="AC5" s="66">
        <v>13</v>
      </c>
      <c r="AD5" s="66">
        <v>0</v>
      </c>
      <c r="AE5" s="66">
        <v>130</v>
      </c>
      <c r="AF5" s="89">
        <v>0</v>
      </c>
      <c r="AG5" s="66">
        <v>0</v>
      </c>
      <c r="AH5" s="66">
        <v>0</v>
      </c>
      <c r="AI5" s="86">
        <v>0</v>
      </c>
      <c r="AJ5" s="66">
        <v>124</v>
      </c>
      <c r="AK5" s="66"/>
      <c r="AL5" s="66">
        <v>0</v>
      </c>
      <c r="AM5" s="86">
        <v>21</v>
      </c>
      <c r="AN5" s="86">
        <v>265</v>
      </c>
      <c r="AO5" s="86">
        <v>0</v>
      </c>
      <c r="AP5" s="86">
        <v>36</v>
      </c>
      <c r="AQ5" s="66">
        <v>94</v>
      </c>
      <c r="AR5" s="66">
        <v>0</v>
      </c>
      <c r="AS5" s="90">
        <v>103</v>
      </c>
      <c r="AT5" s="86">
        <v>0</v>
      </c>
      <c r="AU5" s="86">
        <v>0</v>
      </c>
      <c r="AV5" s="86">
        <v>1</v>
      </c>
      <c r="AW5" s="86">
        <v>150</v>
      </c>
      <c r="AX5" s="86">
        <v>0</v>
      </c>
      <c r="AY5" s="66">
        <v>30</v>
      </c>
      <c r="AZ5" s="66">
        <v>0</v>
      </c>
      <c r="BA5" s="66">
        <v>149</v>
      </c>
      <c r="BB5" s="66">
        <v>131</v>
      </c>
    </row>
    <row r="6" spans="1:55" x14ac:dyDescent="0.2">
      <c r="A6" s="25" t="s">
        <v>43</v>
      </c>
      <c r="B6" s="66"/>
      <c r="C6" s="66">
        <v>7</v>
      </c>
      <c r="D6" s="86"/>
      <c r="E6" s="66">
        <v>24</v>
      </c>
      <c r="F6" s="66">
        <v>25</v>
      </c>
      <c r="G6" s="86"/>
      <c r="H6" s="66">
        <v>66</v>
      </c>
      <c r="I6" s="66">
        <v>257</v>
      </c>
      <c r="J6" s="86"/>
      <c r="K6" s="66">
        <v>33</v>
      </c>
      <c r="L6" s="66">
        <v>10</v>
      </c>
      <c r="M6" s="66">
        <v>39</v>
      </c>
      <c r="N6" s="66">
        <v>7</v>
      </c>
      <c r="O6" s="66">
        <v>26</v>
      </c>
      <c r="P6" s="66">
        <v>47</v>
      </c>
      <c r="Q6" s="66">
        <v>84</v>
      </c>
      <c r="R6" s="66">
        <v>54</v>
      </c>
      <c r="S6" s="66">
        <v>169</v>
      </c>
      <c r="T6" s="87"/>
      <c r="U6" s="66">
        <v>16</v>
      </c>
      <c r="V6" s="66">
        <v>45</v>
      </c>
      <c r="W6" s="66">
        <v>4</v>
      </c>
      <c r="X6" s="88">
        <v>0</v>
      </c>
      <c r="Y6" s="66">
        <v>155</v>
      </c>
      <c r="Z6" s="66">
        <v>37</v>
      </c>
      <c r="AA6" s="66">
        <v>726</v>
      </c>
      <c r="AB6" s="66"/>
      <c r="AC6" s="66">
        <v>2</v>
      </c>
      <c r="AD6" s="66">
        <v>195</v>
      </c>
      <c r="AE6" s="66">
        <v>43</v>
      </c>
      <c r="AF6" s="89">
        <v>0</v>
      </c>
      <c r="AG6" s="66">
        <v>0</v>
      </c>
      <c r="AH6" s="66">
        <v>0</v>
      </c>
      <c r="AI6" s="86">
        <v>0</v>
      </c>
      <c r="AJ6" s="66">
        <v>16</v>
      </c>
      <c r="AK6" s="66"/>
      <c r="AL6" s="66">
        <v>0</v>
      </c>
      <c r="AM6" s="86">
        <v>0</v>
      </c>
      <c r="AN6" s="86">
        <v>6</v>
      </c>
      <c r="AO6" s="86">
        <v>0</v>
      </c>
      <c r="AP6" s="86">
        <v>0</v>
      </c>
      <c r="AQ6" s="66">
        <v>0</v>
      </c>
      <c r="AR6" s="66">
        <v>0</v>
      </c>
      <c r="AS6" s="90">
        <v>16</v>
      </c>
      <c r="AT6" s="86">
        <v>0</v>
      </c>
      <c r="AU6" s="86">
        <v>0</v>
      </c>
      <c r="AV6" s="86">
        <v>0</v>
      </c>
      <c r="AW6" s="86">
        <v>33</v>
      </c>
      <c r="AX6" s="86">
        <v>0</v>
      </c>
      <c r="AY6" s="66">
        <v>153</v>
      </c>
      <c r="AZ6" s="66">
        <v>6</v>
      </c>
      <c r="BA6" s="66">
        <v>31</v>
      </c>
      <c r="BB6" s="66">
        <v>37</v>
      </c>
    </row>
    <row r="7" spans="1:55" x14ac:dyDescent="0.2">
      <c r="A7" s="25" t="s">
        <v>44</v>
      </c>
      <c r="B7" s="66"/>
      <c r="C7" s="66">
        <v>8</v>
      </c>
      <c r="D7" s="86"/>
      <c r="E7" s="66">
        <v>18</v>
      </c>
      <c r="F7" s="66">
        <v>14</v>
      </c>
      <c r="G7" s="86"/>
      <c r="H7" s="66">
        <v>117</v>
      </c>
      <c r="I7" s="66">
        <v>14</v>
      </c>
      <c r="J7" s="86"/>
      <c r="K7" s="66">
        <v>10</v>
      </c>
      <c r="L7" s="66">
        <v>9</v>
      </c>
      <c r="M7" s="66">
        <v>9</v>
      </c>
      <c r="N7" s="66">
        <v>7</v>
      </c>
      <c r="O7" s="66">
        <v>4</v>
      </c>
      <c r="P7" s="66">
        <v>25</v>
      </c>
      <c r="Q7" s="66">
        <v>39</v>
      </c>
      <c r="R7" s="66">
        <v>9</v>
      </c>
      <c r="S7" s="66">
        <v>40</v>
      </c>
      <c r="T7" s="87"/>
      <c r="U7" s="66">
        <v>13</v>
      </c>
      <c r="V7" s="66">
        <v>17</v>
      </c>
      <c r="W7" s="66">
        <v>3</v>
      </c>
      <c r="X7" s="88">
        <v>0</v>
      </c>
      <c r="Y7" s="66">
        <v>82</v>
      </c>
      <c r="Z7" s="66">
        <v>1</v>
      </c>
      <c r="AA7" s="66">
        <v>595</v>
      </c>
      <c r="AB7" s="66">
        <v>1507</v>
      </c>
      <c r="AC7" s="66">
        <v>0</v>
      </c>
      <c r="AD7" s="66">
        <v>0</v>
      </c>
      <c r="AE7" s="66">
        <v>23</v>
      </c>
      <c r="AF7" s="89">
        <v>0</v>
      </c>
      <c r="AG7" s="66">
        <v>0</v>
      </c>
      <c r="AH7" s="66">
        <v>0</v>
      </c>
      <c r="AI7" s="86">
        <v>0</v>
      </c>
      <c r="AJ7" s="66">
        <v>16</v>
      </c>
      <c r="AK7" s="66"/>
      <c r="AL7" s="66">
        <v>0</v>
      </c>
      <c r="AM7" s="86">
        <v>0</v>
      </c>
      <c r="AN7" s="86">
        <v>3</v>
      </c>
      <c r="AO7" s="86">
        <v>0</v>
      </c>
      <c r="AP7" s="86">
        <v>0</v>
      </c>
      <c r="AQ7" s="66">
        <v>0</v>
      </c>
      <c r="AR7" s="66">
        <v>0</v>
      </c>
      <c r="AS7" s="90">
        <v>0</v>
      </c>
      <c r="AT7" s="86">
        <v>0</v>
      </c>
      <c r="AU7" s="86">
        <v>0</v>
      </c>
      <c r="AV7" s="86">
        <v>1</v>
      </c>
      <c r="AW7" s="86">
        <v>1</v>
      </c>
      <c r="AX7" s="86">
        <v>0</v>
      </c>
      <c r="AY7" s="66">
        <v>53</v>
      </c>
      <c r="AZ7" s="66">
        <v>3</v>
      </c>
      <c r="BA7" s="66">
        <v>13</v>
      </c>
      <c r="BB7" s="66">
        <v>0</v>
      </c>
    </row>
    <row r="8" spans="1:55" x14ac:dyDescent="0.2">
      <c r="A8" s="25" t="s">
        <v>45</v>
      </c>
      <c r="B8" s="66"/>
      <c r="C8" s="66">
        <v>7</v>
      </c>
      <c r="D8" s="86"/>
      <c r="E8" s="66">
        <v>16</v>
      </c>
      <c r="F8" s="66">
        <v>15</v>
      </c>
      <c r="G8" s="86"/>
      <c r="H8" s="66">
        <v>6</v>
      </c>
      <c r="I8" s="66">
        <v>11</v>
      </c>
      <c r="J8" s="86"/>
      <c r="K8" s="66">
        <v>0</v>
      </c>
      <c r="L8" s="66">
        <v>6</v>
      </c>
      <c r="M8" s="66">
        <v>0</v>
      </c>
      <c r="N8" s="66">
        <v>7</v>
      </c>
      <c r="O8" s="66">
        <v>1</v>
      </c>
      <c r="P8" s="66">
        <v>22</v>
      </c>
      <c r="Q8" s="66">
        <v>1</v>
      </c>
      <c r="R8" s="66">
        <v>4</v>
      </c>
      <c r="S8" s="66">
        <v>0</v>
      </c>
      <c r="T8" s="87"/>
      <c r="U8" s="66">
        <v>15</v>
      </c>
      <c r="V8" s="66">
        <v>8</v>
      </c>
      <c r="W8" s="66">
        <v>3</v>
      </c>
      <c r="X8" s="88">
        <v>0</v>
      </c>
      <c r="Y8" s="66">
        <v>15</v>
      </c>
      <c r="Z8" s="66">
        <v>0</v>
      </c>
      <c r="AA8" s="66">
        <v>339</v>
      </c>
      <c r="AB8" s="66">
        <v>1308</v>
      </c>
      <c r="AC8" s="66">
        <v>0</v>
      </c>
      <c r="AD8" s="66">
        <v>0</v>
      </c>
      <c r="AE8" s="66">
        <v>25</v>
      </c>
      <c r="AF8" s="89">
        <v>0</v>
      </c>
      <c r="AG8" s="66">
        <v>0</v>
      </c>
      <c r="AH8" s="66">
        <v>202</v>
      </c>
      <c r="AI8" s="86">
        <v>0</v>
      </c>
      <c r="AJ8" s="66">
        <v>1</v>
      </c>
      <c r="AK8" s="66"/>
      <c r="AL8" s="66">
        <v>0</v>
      </c>
      <c r="AM8" s="86">
        <v>7</v>
      </c>
      <c r="AN8" s="86">
        <v>13</v>
      </c>
      <c r="AO8" s="86">
        <v>0</v>
      </c>
      <c r="AP8" s="86">
        <v>0</v>
      </c>
      <c r="AQ8" s="66">
        <v>0</v>
      </c>
      <c r="AR8" s="66">
        <v>0</v>
      </c>
      <c r="AS8" s="90">
        <v>0</v>
      </c>
      <c r="AT8" s="86">
        <v>0</v>
      </c>
      <c r="AU8" s="86">
        <v>0</v>
      </c>
      <c r="AV8" s="86">
        <v>1</v>
      </c>
      <c r="AW8" s="86">
        <v>0</v>
      </c>
      <c r="AX8" s="86">
        <v>0</v>
      </c>
      <c r="AY8" s="66">
        <v>0</v>
      </c>
      <c r="AZ8" s="66">
        <v>5</v>
      </c>
      <c r="BA8" s="66">
        <v>13</v>
      </c>
      <c r="BB8" s="66">
        <v>0</v>
      </c>
    </row>
    <row r="9" spans="1:55" x14ac:dyDescent="0.2">
      <c r="A9" s="25" t="s">
        <v>46</v>
      </c>
      <c r="B9" s="66"/>
      <c r="C9" s="66">
        <v>9</v>
      </c>
      <c r="D9" s="86"/>
      <c r="E9" s="66">
        <v>18</v>
      </c>
      <c r="F9" s="66">
        <v>24</v>
      </c>
      <c r="G9" s="86"/>
      <c r="H9" s="66">
        <v>5</v>
      </c>
      <c r="I9" s="66">
        <v>10</v>
      </c>
      <c r="J9" s="86"/>
      <c r="K9" s="66">
        <v>0</v>
      </c>
      <c r="L9" s="66">
        <v>5</v>
      </c>
      <c r="M9" s="66">
        <v>0</v>
      </c>
      <c r="N9" s="66">
        <v>7</v>
      </c>
      <c r="O9" s="66">
        <v>1</v>
      </c>
      <c r="P9" s="66">
        <v>21</v>
      </c>
      <c r="Q9" s="66">
        <v>0</v>
      </c>
      <c r="R9" s="66">
        <v>3</v>
      </c>
      <c r="S9" s="66">
        <v>1</v>
      </c>
      <c r="T9" s="87"/>
      <c r="U9" s="66">
        <v>10</v>
      </c>
      <c r="V9" s="66">
        <v>8</v>
      </c>
      <c r="W9" s="66">
        <v>3</v>
      </c>
      <c r="X9" s="88">
        <v>0</v>
      </c>
      <c r="Y9" s="66">
        <v>13</v>
      </c>
      <c r="Z9" s="66">
        <v>1</v>
      </c>
      <c r="AA9" s="66">
        <v>201</v>
      </c>
      <c r="AB9" s="66">
        <v>320</v>
      </c>
      <c r="AC9" s="66">
        <v>0</v>
      </c>
      <c r="AD9" s="66">
        <v>0</v>
      </c>
      <c r="AE9" s="66">
        <v>22</v>
      </c>
      <c r="AF9" s="89">
        <v>1</v>
      </c>
      <c r="AG9" s="66">
        <v>0</v>
      </c>
      <c r="AH9" s="66">
        <v>400</v>
      </c>
      <c r="AI9" s="86">
        <v>0</v>
      </c>
      <c r="AJ9" s="66">
        <v>0</v>
      </c>
      <c r="AK9" s="66"/>
      <c r="AL9" s="66">
        <v>8</v>
      </c>
      <c r="AM9" s="86">
        <v>0</v>
      </c>
      <c r="AN9" s="86">
        <v>318</v>
      </c>
      <c r="AO9" s="86">
        <v>0</v>
      </c>
      <c r="AP9" s="86">
        <v>0</v>
      </c>
      <c r="AQ9" s="66">
        <v>0</v>
      </c>
      <c r="AR9" s="66">
        <v>0</v>
      </c>
      <c r="AS9" s="90">
        <v>0</v>
      </c>
      <c r="AT9" s="86">
        <v>0</v>
      </c>
      <c r="AU9" s="86">
        <v>0</v>
      </c>
      <c r="AV9" s="86">
        <v>0</v>
      </c>
      <c r="AW9" s="86">
        <v>1</v>
      </c>
      <c r="AX9" s="86">
        <v>0</v>
      </c>
      <c r="AY9" s="66">
        <v>0</v>
      </c>
      <c r="AZ9" s="66">
        <v>6</v>
      </c>
      <c r="BA9" s="66">
        <v>0</v>
      </c>
      <c r="BB9" s="66">
        <v>0</v>
      </c>
    </row>
    <row r="10" spans="1:55" x14ac:dyDescent="0.2">
      <c r="A10" s="25" t="s">
        <v>47</v>
      </c>
      <c r="B10" s="66"/>
      <c r="C10" s="66">
        <v>8</v>
      </c>
      <c r="D10" s="86"/>
      <c r="E10" s="66">
        <v>18</v>
      </c>
      <c r="F10" s="66">
        <v>6</v>
      </c>
      <c r="G10" s="86"/>
      <c r="H10" s="66">
        <v>8</v>
      </c>
      <c r="I10" s="66">
        <v>13</v>
      </c>
      <c r="J10" s="86"/>
      <c r="K10" s="66">
        <v>0</v>
      </c>
      <c r="L10" s="66">
        <v>5</v>
      </c>
      <c r="M10" s="66">
        <v>0</v>
      </c>
      <c r="N10" s="66">
        <v>7</v>
      </c>
      <c r="O10" s="66">
        <v>1</v>
      </c>
      <c r="P10" s="66">
        <v>19</v>
      </c>
      <c r="Q10" s="66">
        <v>2</v>
      </c>
      <c r="R10" s="66">
        <v>4</v>
      </c>
      <c r="S10" s="66">
        <v>2</v>
      </c>
      <c r="T10" s="87"/>
      <c r="U10" s="66">
        <v>10</v>
      </c>
      <c r="V10" s="66">
        <v>4</v>
      </c>
      <c r="W10" s="66">
        <v>2</v>
      </c>
      <c r="X10" s="88">
        <v>0</v>
      </c>
      <c r="Y10" s="66">
        <v>3</v>
      </c>
      <c r="Z10" s="66">
        <v>1</v>
      </c>
      <c r="AA10" s="66">
        <v>194</v>
      </c>
      <c r="AB10" s="66">
        <v>2202</v>
      </c>
      <c r="AC10" s="66">
        <v>0</v>
      </c>
      <c r="AD10" s="66">
        <v>11</v>
      </c>
      <c r="AE10" s="66">
        <v>36</v>
      </c>
      <c r="AF10" s="89">
        <v>3</v>
      </c>
      <c r="AG10" s="66">
        <v>34</v>
      </c>
      <c r="AH10" s="66">
        <v>4</v>
      </c>
      <c r="AI10" s="86">
        <v>3</v>
      </c>
      <c r="AJ10" s="66">
        <v>4</v>
      </c>
      <c r="AK10" s="66"/>
      <c r="AL10" s="66">
        <v>2250</v>
      </c>
      <c r="AM10" s="86">
        <v>151</v>
      </c>
      <c r="AN10" s="86">
        <v>12</v>
      </c>
      <c r="AO10" s="86">
        <v>30</v>
      </c>
      <c r="AP10" s="86">
        <v>4</v>
      </c>
      <c r="AQ10" s="66">
        <v>109</v>
      </c>
      <c r="AR10" s="66">
        <v>7</v>
      </c>
      <c r="AS10" s="90">
        <v>0</v>
      </c>
      <c r="AT10" s="86">
        <v>0</v>
      </c>
      <c r="AU10" s="86">
        <v>0</v>
      </c>
      <c r="AV10" s="86">
        <v>1</v>
      </c>
      <c r="AW10" s="86">
        <v>1</v>
      </c>
      <c r="AX10" s="86">
        <v>2</v>
      </c>
      <c r="AY10" s="66">
        <v>0</v>
      </c>
      <c r="AZ10" s="66">
        <v>4</v>
      </c>
      <c r="BA10" s="66">
        <v>0</v>
      </c>
      <c r="BB10" s="66">
        <v>0</v>
      </c>
    </row>
    <row r="11" spans="1:55" ht="15" x14ac:dyDescent="0.2">
      <c r="A11" s="25" t="s">
        <v>48</v>
      </c>
      <c r="B11" s="66"/>
      <c r="C11" s="66">
        <v>12</v>
      </c>
      <c r="D11" s="86"/>
      <c r="E11" s="66">
        <v>16</v>
      </c>
      <c r="F11" s="66">
        <v>14</v>
      </c>
      <c r="G11" s="86"/>
      <c r="H11" s="66">
        <v>6</v>
      </c>
      <c r="I11" s="66">
        <v>11</v>
      </c>
      <c r="J11" s="86"/>
      <c r="K11" s="66">
        <v>0</v>
      </c>
      <c r="L11" s="66">
        <v>6</v>
      </c>
      <c r="M11" s="66">
        <v>0</v>
      </c>
      <c r="N11" s="66">
        <v>7</v>
      </c>
      <c r="O11" s="66">
        <v>1</v>
      </c>
      <c r="P11" s="66">
        <v>18</v>
      </c>
      <c r="Q11" s="66">
        <v>1</v>
      </c>
      <c r="R11" s="66">
        <v>4</v>
      </c>
      <c r="S11" s="66">
        <v>209</v>
      </c>
      <c r="T11" s="87"/>
      <c r="U11" s="66">
        <v>14</v>
      </c>
      <c r="V11" s="66">
        <v>5</v>
      </c>
      <c r="W11" s="66">
        <v>2</v>
      </c>
      <c r="X11" s="88">
        <v>0</v>
      </c>
      <c r="Y11" s="66">
        <v>25</v>
      </c>
      <c r="Z11" s="66">
        <v>0</v>
      </c>
      <c r="AA11" s="66">
        <v>236</v>
      </c>
      <c r="AB11" s="66">
        <v>1239</v>
      </c>
      <c r="AC11" s="66">
        <v>16026</v>
      </c>
      <c r="AD11" s="66">
        <v>43280</v>
      </c>
      <c r="AE11" s="66">
        <v>41</v>
      </c>
      <c r="AF11" s="89">
        <v>13574</v>
      </c>
      <c r="AG11" s="66">
        <v>10009</v>
      </c>
      <c r="AH11" s="66">
        <v>25400</v>
      </c>
      <c r="AI11" s="91">
        <v>23420</v>
      </c>
      <c r="AJ11" s="66">
        <v>3500</v>
      </c>
      <c r="AK11" s="66"/>
      <c r="AL11" s="66">
        <v>41761</v>
      </c>
      <c r="AM11" s="86">
        <v>81324</v>
      </c>
      <c r="AN11" s="86">
        <v>41963</v>
      </c>
      <c r="AO11" s="86">
        <v>25311</v>
      </c>
      <c r="AP11" s="86">
        <v>10216</v>
      </c>
      <c r="AQ11" s="66">
        <v>13559</v>
      </c>
      <c r="AR11" s="66">
        <v>12087</v>
      </c>
      <c r="AS11" s="90">
        <v>3765</v>
      </c>
      <c r="AT11" s="86">
        <v>4277</v>
      </c>
      <c r="AU11" s="86">
        <v>0</v>
      </c>
      <c r="AV11" s="86">
        <v>18</v>
      </c>
      <c r="AW11" s="86">
        <v>1</v>
      </c>
      <c r="AX11" s="86">
        <v>4558</v>
      </c>
      <c r="AY11" s="66">
        <v>0</v>
      </c>
      <c r="AZ11" s="66">
        <v>6</v>
      </c>
      <c r="BA11" s="66">
        <v>11826</v>
      </c>
      <c r="BB11" s="66">
        <v>0</v>
      </c>
    </row>
    <row r="12" spans="1:55" ht="15" x14ac:dyDescent="0.2">
      <c r="A12" s="25" t="s">
        <v>49</v>
      </c>
      <c r="B12" s="66"/>
      <c r="C12" s="66">
        <v>19</v>
      </c>
      <c r="D12" s="86"/>
      <c r="E12" s="66">
        <v>14</v>
      </c>
      <c r="F12" s="66">
        <v>14</v>
      </c>
      <c r="G12" s="86"/>
      <c r="H12" s="66">
        <v>3</v>
      </c>
      <c r="I12" s="66">
        <v>20</v>
      </c>
      <c r="J12" s="86"/>
      <c r="K12" s="66">
        <v>0</v>
      </c>
      <c r="L12" s="66">
        <v>10</v>
      </c>
      <c r="M12" s="66">
        <v>0</v>
      </c>
      <c r="N12" s="66">
        <v>7</v>
      </c>
      <c r="O12" s="66">
        <v>1</v>
      </c>
      <c r="P12" s="66">
        <v>20</v>
      </c>
      <c r="Q12" s="66">
        <v>6</v>
      </c>
      <c r="R12" s="66">
        <v>3</v>
      </c>
      <c r="S12" s="66">
        <v>184</v>
      </c>
      <c r="T12" s="87"/>
      <c r="U12" s="66">
        <v>10</v>
      </c>
      <c r="V12" s="66">
        <v>4</v>
      </c>
      <c r="W12" s="66">
        <v>3</v>
      </c>
      <c r="X12" s="88">
        <v>0</v>
      </c>
      <c r="Y12" s="66">
        <v>15</v>
      </c>
      <c r="Z12" s="66">
        <v>1</v>
      </c>
      <c r="AA12" s="66">
        <v>214</v>
      </c>
      <c r="AB12" s="66">
        <v>1275</v>
      </c>
      <c r="AC12" s="66">
        <v>4273</v>
      </c>
      <c r="AD12" s="66">
        <v>56679</v>
      </c>
      <c r="AE12" s="66">
        <v>52</v>
      </c>
      <c r="AF12" s="89">
        <v>0</v>
      </c>
      <c r="AG12" s="66">
        <v>46709</v>
      </c>
      <c r="AH12" s="66">
        <v>0</v>
      </c>
      <c r="AI12" s="91">
        <v>76315</v>
      </c>
      <c r="AJ12" s="66">
        <v>40940</v>
      </c>
      <c r="AK12" s="66"/>
      <c r="AL12" s="66">
        <v>19061</v>
      </c>
      <c r="AM12" s="86">
        <v>106410</v>
      </c>
      <c r="AN12" s="86">
        <v>63851</v>
      </c>
      <c r="AO12" s="86">
        <v>106327</v>
      </c>
      <c r="AP12" s="91">
        <v>49472</v>
      </c>
      <c r="AQ12" s="66">
        <v>21866</v>
      </c>
      <c r="AR12" s="66">
        <v>0</v>
      </c>
      <c r="AS12" s="87">
        <v>31439</v>
      </c>
      <c r="AT12" s="86">
        <v>79067</v>
      </c>
      <c r="AU12" s="86">
        <v>0</v>
      </c>
      <c r="AV12" s="86">
        <v>18</v>
      </c>
      <c r="AW12" s="86">
        <v>1</v>
      </c>
      <c r="AX12" s="91">
        <v>32037</v>
      </c>
      <c r="AY12" s="66">
        <v>0</v>
      </c>
      <c r="AZ12" s="66">
        <v>5</v>
      </c>
      <c r="BA12" s="66">
        <v>143372</v>
      </c>
      <c r="BB12" s="66">
        <v>22</v>
      </c>
    </row>
    <row r="13" spans="1:55" ht="15" x14ac:dyDescent="0.2">
      <c r="A13" s="25" t="s">
        <v>50</v>
      </c>
      <c r="B13" s="66"/>
      <c r="C13" s="66">
        <v>14</v>
      </c>
      <c r="D13" s="86"/>
      <c r="E13" s="66">
        <v>18</v>
      </c>
      <c r="F13" s="66">
        <v>24</v>
      </c>
      <c r="G13" s="86"/>
      <c r="H13" s="66">
        <v>123</v>
      </c>
      <c r="I13" s="66">
        <v>95</v>
      </c>
      <c r="J13" s="86"/>
      <c r="K13" s="66">
        <v>33</v>
      </c>
      <c r="L13" s="66">
        <v>10</v>
      </c>
      <c r="M13" s="66">
        <v>1</v>
      </c>
      <c r="N13" s="66">
        <v>6</v>
      </c>
      <c r="O13" s="66">
        <v>36</v>
      </c>
      <c r="P13" s="66">
        <v>46</v>
      </c>
      <c r="Q13" s="66">
        <v>108</v>
      </c>
      <c r="R13" s="66">
        <v>51</v>
      </c>
      <c r="S13" s="66">
        <v>215</v>
      </c>
      <c r="T13" s="87"/>
      <c r="U13" s="66">
        <v>14</v>
      </c>
      <c r="V13" s="66">
        <v>58</v>
      </c>
      <c r="W13" s="66">
        <v>4</v>
      </c>
      <c r="X13" s="88">
        <v>0</v>
      </c>
      <c r="Y13" s="66">
        <v>162</v>
      </c>
      <c r="Z13" s="66">
        <v>20</v>
      </c>
      <c r="AA13" s="66">
        <v>1159</v>
      </c>
      <c r="AB13" s="66">
        <v>1409</v>
      </c>
      <c r="AC13" s="66">
        <v>2557</v>
      </c>
      <c r="AD13" s="66">
        <v>9440</v>
      </c>
      <c r="AE13" s="66">
        <v>60</v>
      </c>
      <c r="AF13" s="89">
        <v>69349</v>
      </c>
      <c r="AG13" s="66">
        <v>0</v>
      </c>
      <c r="AH13" s="66">
        <v>141768</v>
      </c>
      <c r="AI13" s="91">
        <v>542</v>
      </c>
      <c r="AJ13" s="66">
        <v>9596</v>
      </c>
      <c r="AK13" s="66"/>
      <c r="AL13" s="66">
        <v>6369</v>
      </c>
      <c r="AM13" s="86">
        <v>62908</v>
      </c>
      <c r="AN13" s="91">
        <v>17219</v>
      </c>
      <c r="AO13" s="91">
        <v>10979</v>
      </c>
      <c r="AP13" s="91">
        <v>89049</v>
      </c>
      <c r="AQ13" s="66">
        <v>21867</v>
      </c>
      <c r="AR13" s="66">
        <v>57414</v>
      </c>
      <c r="AS13" s="87">
        <v>4136</v>
      </c>
      <c r="AT13" s="86">
        <v>3652</v>
      </c>
      <c r="AU13" s="86">
        <v>0</v>
      </c>
      <c r="AV13" s="86">
        <v>28</v>
      </c>
      <c r="AW13" s="86">
        <v>50</v>
      </c>
      <c r="AX13" s="91">
        <v>4385</v>
      </c>
      <c r="AY13" s="66">
        <v>17</v>
      </c>
      <c r="AZ13" s="66">
        <v>5</v>
      </c>
      <c r="BA13" s="66">
        <v>69144</v>
      </c>
      <c r="BB13" s="66"/>
    </row>
    <row r="14" spans="1:55" ht="15" x14ac:dyDescent="0.2">
      <c r="A14" s="25" t="s">
        <v>51</v>
      </c>
      <c r="B14" s="66"/>
      <c r="C14" s="66">
        <v>10</v>
      </c>
      <c r="D14" s="86"/>
      <c r="E14" s="66">
        <v>14</v>
      </c>
      <c r="F14" s="66">
        <v>153</v>
      </c>
      <c r="G14" s="86"/>
      <c r="H14" s="66">
        <v>240</v>
      </c>
      <c r="I14" s="66">
        <v>578</v>
      </c>
      <c r="J14" s="86"/>
      <c r="K14" s="66">
        <v>110</v>
      </c>
      <c r="L14" s="66">
        <v>17</v>
      </c>
      <c r="M14" s="66">
        <v>89</v>
      </c>
      <c r="N14" s="66">
        <v>6</v>
      </c>
      <c r="O14" s="66">
        <v>121</v>
      </c>
      <c r="P14" s="66">
        <v>80</v>
      </c>
      <c r="Q14" s="66">
        <v>383</v>
      </c>
      <c r="R14" s="66">
        <v>193</v>
      </c>
      <c r="S14" s="66">
        <v>661</v>
      </c>
      <c r="T14" s="87"/>
      <c r="U14" s="66">
        <v>17</v>
      </c>
      <c r="V14" s="66">
        <v>191</v>
      </c>
      <c r="W14" s="66">
        <v>37</v>
      </c>
      <c r="X14" s="88">
        <v>0</v>
      </c>
      <c r="Y14" s="66">
        <v>820</v>
      </c>
      <c r="Z14" s="66">
        <v>206</v>
      </c>
      <c r="AA14" s="66">
        <v>2319</v>
      </c>
      <c r="AB14" s="66">
        <v>1890</v>
      </c>
      <c r="AC14" s="66">
        <v>11</v>
      </c>
      <c r="AD14" s="66">
        <v>303</v>
      </c>
      <c r="AE14" s="66">
        <v>178</v>
      </c>
      <c r="AF14" s="89">
        <v>3604</v>
      </c>
      <c r="AG14" s="66">
        <v>0</v>
      </c>
      <c r="AH14" s="66">
        <v>7483</v>
      </c>
      <c r="AI14" s="91"/>
      <c r="AJ14" s="66">
        <v>847</v>
      </c>
      <c r="AK14" s="87"/>
      <c r="AL14" s="91">
        <v>2332</v>
      </c>
      <c r="AM14" s="86">
        <v>1843</v>
      </c>
      <c r="AN14" s="91">
        <v>4739</v>
      </c>
      <c r="AO14" s="91">
        <v>1406</v>
      </c>
      <c r="AP14" s="91">
        <v>7309</v>
      </c>
      <c r="AQ14" s="91">
        <v>1219</v>
      </c>
      <c r="AR14" s="66">
        <v>0</v>
      </c>
      <c r="AS14" s="87">
        <v>51</v>
      </c>
      <c r="AT14" s="91">
        <v>0</v>
      </c>
      <c r="AU14" s="87">
        <v>0</v>
      </c>
      <c r="AV14" s="88">
        <v>16</v>
      </c>
      <c r="AW14" s="86">
        <v>137</v>
      </c>
      <c r="AX14" s="91">
        <v>1128</v>
      </c>
      <c r="AY14" s="87">
        <v>155</v>
      </c>
      <c r="AZ14" s="87">
        <v>5</v>
      </c>
      <c r="BA14" s="87">
        <v>2276</v>
      </c>
      <c r="BB14" s="87">
        <v>96</v>
      </c>
    </row>
    <row r="15" spans="1:55" ht="15" x14ac:dyDescent="0.2">
      <c r="A15" s="25" t="s">
        <v>52</v>
      </c>
      <c r="B15" s="66"/>
      <c r="C15" s="66">
        <v>49</v>
      </c>
      <c r="D15" s="86"/>
      <c r="E15" s="66">
        <v>21</v>
      </c>
      <c r="F15" s="66">
        <v>165</v>
      </c>
      <c r="G15" s="86"/>
      <c r="H15" s="66">
        <v>485</v>
      </c>
      <c r="I15" s="66">
        <v>1288</v>
      </c>
      <c r="J15" s="86"/>
      <c r="K15" s="66">
        <v>187</v>
      </c>
      <c r="L15" s="66">
        <v>11</v>
      </c>
      <c r="M15" s="66">
        <v>319</v>
      </c>
      <c r="N15" s="66">
        <v>65</v>
      </c>
      <c r="O15" s="66">
        <v>224</v>
      </c>
      <c r="P15" s="66">
        <v>145</v>
      </c>
      <c r="Q15" s="66">
        <v>643</v>
      </c>
      <c r="R15" s="66">
        <v>232</v>
      </c>
      <c r="S15" s="66">
        <v>801</v>
      </c>
      <c r="T15" s="87"/>
      <c r="U15" s="66">
        <v>11</v>
      </c>
      <c r="V15" s="66">
        <v>352</v>
      </c>
      <c r="W15" s="66">
        <v>90</v>
      </c>
      <c r="X15" s="88">
        <v>0</v>
      </c>
      <c r="Y15" s="66">
        <v>819</v>
      </c>
      <c r="Z15" s="66">
        <v>397</v>
      </c>
      <c r="AA15" s="66">
        <v>4464</v>
      </c>
      <c r="AB15" s="66">
        <v>2027</v>
      </c>
      <c r="AC15" s="66">
        <v>4</v>
      </c>
      <c r="AD15" s="91">
        <v>0</v>
      </c>
      <c r="AE15" s="66">
        <v>171</v>
      </c>
      <c r="AF15" s="89">
        <v>190</v>
      </c>
      <c r="AG15" s="66">
        <v>0</v>
      </c>
      <c r="AH15" s="66">
        <v>2705</v>
      </c>
      <c r="AI15" s="91"/>
      <c r="AJ15" s="66">
        <v>296</v>
      </c>
      <c r="AK15" s="87"/>
      <c r="AL15" s="91">
        <v>395</v>
      </c>
      <c r="AM15" s="86">
        <v>296</v>
      </c>
      <c r="AN15" s="91">
        <v>540</v>
      </c>
      <c r="AO15" s="91">
        <v>8</v>
      </c>
      <c r="AP15" s="91">
        <v>14</v>
      </c>
      <c r="AQ15" s="91">
        <v>282</v>
      </c>
      <c r="AR15" s="66">
        <v>0</v>
      </c>
      <c r="AS15" s="87">
        <v>82</v>
      </c>
      <c r="AT15" s="91">
        <v>5</v>
      </c>
      <c r="AU15" s="87">
        <v>0</v>
      </c>
      <c r="AV15" s="88">
        <v>0</v>
      </c>
      <c r="AW15" s="88">
        <v>246</v>
      </c>
      <c r="AX15" s="91">
        <v>0</v>
      </c>
      <c r="AY15" s="87">
        <v>399</v>
      </c>
      <c r="AZ15" s="87">
        <v>11</v>
      </c>
      <c r="BA15" s="87">
        <v>258</v>
      </c>
      <c r="BB15" s="87">
        <v>159</v>
      </c>
    </row>
    <row r="16" spans="1:55" ht="13.5" thickBot="1" x14ac:dyDescent="0.25">
      <c r="A16" s="92" t="s">
        <v>58</v>
      </c>
      <c r="B16" s="93">
        <f>SUM(B4:B15)/10</f>
        <v>0</v>
      </c>
      <c r="C16" s="93">
        <f>SUM(B19:B30)/10</f>
        <v>0</v>
      </c>
      <c r="D16" s="93"/>
      <c r="E16" s="94">
        <f>SUM(E4:E15)/10</f>
        <v>30.9</v>
      </c>
      <c r="F16" s="94">
        <f>SUM(E19:E30)/10</f>
        <v>38.331000000000003</v>
      </c>
      <c r="G16" s="95">
        <f>SUM(G4:G15)/10</f>
        <v>0</v>
      </c>
      <c r="H16" s="94">
        <f>SUM(H4:H15)/10</f>
        <v>169.8</v>
      </c>
      <c r="I16" s="94">
        <f>SUM(H19:H30)/10</f>
        <v>149.983</v>
      </c>
      <c r="J16" s="94"/>
      <c r="K16" s="94">
        <f t="shared" ref="K16:S16" si="0">SUM(K4:K15)/10</f>
        <v>68.900000000000006</v>
      </c>
      <c r="L16" s="94">
        <f t="shared" si="0"/>
        <v>11.1</v>
      </c>
      <c r="M16" s="94">
        <f t="shared" si="0"/>
        <v>98.9</v>
      </c>
      <c r="N16" s="94">
        <f t="shared" si="0"/>
        <v>21.9</v>
      </c>
      <c r="O16" s="94">
        <f t="shared" si="0"/>
        <v>81.7</v>
      </c>
      <c r="P16" s="94">
        <f t="shared" si="0"/>
        <v>64.599999999999994</v>
      </c>
      <c r="Q16" s="94">
        <f t="shared" si="0"/>
        <v>217.4</v>
      </c>
      <c r="R16" s="94">
        <f t="shared" si="0"/>
        <v>93.1</v>
      </c>
      <c r="S16" s="94">
        <f t="shared" si="0"/>
        <v>377.3</v>
      </c>
      <c r="T16" s="94"/>
      <c r="U16" s="94">
        <f t="shared" ref="U16:AL16" si="1">SUM(U4:U15)/10</f>
        <v>16.600000000000001</v>
      </c>
      <c r="V16" s="94">
        <f t="shared" si="1"/>
        <v>133.69999999999999</v>
      </c>
      <c r="W16" s="94">
        <f t="shared" si="1"/>
        <v>20.2</v>
      </c>
      <c r="X16" s="94">
        <f t="shared" si="1"/>
        <v>0</v>
      </c>
      <c r="Y16" s="94">
        <f t="shared" si="1"/>
        <v>481.4</v>
      </c>
      <c r="Z16" s="94">
        <f t="shared" si="1"/>
        <v>112.2</v>
      </c>
      <c r="AA16" s="94">
        <f t="shared" si="1"/>
        <v>1731.7</v>
      </c>
      <c r="AB16" s="94">
        <f t="shared" si="1"/>
        <v>1780.5</v>
      </c>
      <c r="AC16" s="94">
        <f t="shared" si="1"/>
        <v>2289.8000000000002</v>
      </c>
      <c r="AD16" s="94">
        <f>SUM(AD4:AD15)/10</f>
        <v>10990.8</v>
      </c>
      <c r="AE16" s="94"/>
      <c r="AF16" s="94">
        <f>SUM(AF4:AF15)/10</f>
        <v>8672.1</v>
      </c>
      <c r="AG16" s="94">
        <f t="shared" si="1"/>
        <v>5675.7</v>
      </c>
      <c r="AH16" s="94">
        <f>SUM(AH4:AH15)/10</f>
        <v>17839.8</v>
      </c>
      <c r="AI16" s="94">
        <f>SUM(AI4:AI15)/10</f>
        <v>10028</v>
      </c>
      <c r="AJ16" s="94">
        <f>SUM(AJ4:AJ15)/10</f>
        <v>5549.2</v>
      </c>
      <c r="AK16" s="94"/>
      <c r="AL16" s="94">
        <f t="shared" si="1"/>
        <v>7217.6</v>
      </c>
      <c r="AM16" s="94">
        <f t="shared" ref="AM16:AU16" si="2">SUM(AM4:AM15)/10</f>
        <v>25610.7</v>
      </c>
      <c r="AN16" s="94">
        <f t="shared" si="2"/>
        <v>12932.9</v>
      </c>
      <c r="AO16" s="94">
        <f t="shared" si="2"/>
        <v>14406.1</v>
      </c>
      <c r="AP16" s="94">
        <f t="shared" si="2"/>
        <v>15613.3</v>
      </c>
      <c r="AQ16" s="94">
        <f t="shared" si="2"/>
        <v>5930.6</v>
      </c>
      <c r="AR16" s="94">
        <f t="shared" si="2"/>
        <v>6950.8</v>
      </c>
      <c r="AS16" s="96">
        <f t="shared" si="2"/>
        <v>3975.1</v>
      </c>
      <c r="AT16" s="94">
        <f t="shared" si="2"/>
        <v>8700.1</v>
      </c>
      <c r="AU16" s="94">
        <f t="shared" si="2"/>
        <v>0</v>
      </c>
      <c r="AV16" s="94">
        <f t="shared" ref="AV16:BB16" si="3">SUM(AV4:AV15)/10</f>
        <v>8.5</v>
      </c>
      <c r="AW16" s="94">
        <f t="shared" si="3"/>
        <v>85</v>
      </c>
      <c r="AX16" s="94">
        <f t="shared" si="3"/>
        <v>4211</v>
      </c>
      <c r="AY16" s="94">
        <f t="shared" si="3"/>
        <v>149</v>
      </c>
      <c r="AZ16" s="94">
        <f t="shared" si="3"/>
        <v>7.4</v>
      </c>
      <c r="BA16" s="94">
        <f t="shared" si="3"/>
        <v>22729.200000000001</v>
      </c>
      <c r="BB16" s="94">
        <f t="shared" si="3"/>
        <v>58.4</v>
      </c>
      <c r="BC16" s="97">
        <f>SUM(U16:BB16)</f>
        <v>193907.4</v>
      </c>
    </row>
    <row r="17" spans="1:55" ht="13.5" thickTop="1" x14ac:dyDescent="0.2">
      <c r="B17" s="28"/>
      <c r="C17" s="29"/>
      <c r="D17" s="29"/>
      <c r="E17" s="25"/>
      <c r="AM17" s="3"/>
      <c r="AS17" s="6"/>
      <c r="AT17" s="30"/>
    </row>
    <row r="18" spans="1:55" x14ac:dyDescent="0.2">
      <c r="A18" s="26">
        <v>2012</v>
      </c>
      <c r="B18" s="31" t="s">
        <v>53</v>
      </c>
      <c r="C18" s="31" t="s">
        <v>53</v>
      </c>
      <c r="D18" s="31" t="s">
        <v>53</v>
      </c>
      <c r="E18" s="31" t="s">
        <v>53</v>
      </c>
      <c r="F18" s="31" t="s">
        <v>53</v>
      </c>
      <c r="G18" s="31" t="s">
        <v>53</v>
      </c>
      <c r="H18" s="31" t="s">
        <v>53</v>
      </c>
      <c r="I18" s="31" t="s">
        <v>53</v>
      </c>
      <c r="J18" s="31" t="s">
        <v>53</v>
      </c>
      <c r="K18" s="31" t="s">
        <v>53</v>
      </c>
      <c r="L18" s="31" t="s">
        <v>53</v>
      </c>
      <c r="M18" s="31" t="s">
        <v>53</v>
      </c>
      <c r="N18" s="31" t="s">
        <v>53</v>
      </c>
      <c r="O18" s="31" t="s">
        <v>53</v>
      </c>
      <c r="P18" s="31" t="s">
        <v>53</v>
      </c>
      <c r="Q18" s="31" t="s">
        <v>53</v>
      </c>
      <c r="R18" s="31" t="s">
        <v>53</v>
      </c>
      <c r="S18" s="31" t="s">
        <v>53</v>
      </c>
      <c r="T18" s="31" t="s">
        <v>53</v>
      </c>
      <c r="U18" s="31" t="s">
        <v>53</v>
      </c>
      <c r="V18" s="31" t="s">
        <v>53</v>
      </c>
      <c r="W18" s="31" t="s">
        <v>53</v>
      </c>
      <c r="X18" s="31" t="s">
        <v>53</v>
      </c>
      <c r="Y18" s="31" t="s">
        <v>53</v>
      </c>
      <c r="Z18" s="31" t="s">
        <v>53</v>
      </c>
      <c r="AA18" s="31" t="s">
        <v>53</v>
      </c>
      <c r="AB18" s="31" t="s">
        <v>53</v>
      </c>
      <c r="AC18" s="31" t="s">
        <v>53</v>
      </c>
      <c r="AD18" s="31" t="s">
        <v>53</v>
      </c>
      <c r="AE18" s="31" t="s">
        <v>53</v>
      </c>
      <c r="AF18" s="31" t="s">
        <v>53</v>
      </c>
      <c r="AG18" s="31" t="s">
        <v>53</v>
      </c>
      <c r="AH18" s="31" t="s">
        <v>53</v>
      </c>
      <c r="AI18" s="31" t="s">
        <v>53</v>
      </c>
      <c r="AJ18" s="31" t="s">
        <v>53</v>
      </c>
      <c r="AK18" s="31" t="s">
        <v>53</v>
      </c>
      <c r="AL18" s="31" t="s">
        <v>53</v>
      </c>
      <c r="AM18" s="69" t="s">
        <v>53</v>
      </c>
      <c r="AN18" s="31" t="s">
        <v>53</v>
      </c>
      <c r="AO18" s="31" t="s">
        <v>53</v>
      </c>
      <c r="AP18" s="31" t="s">
        <v>53</v>
      </c>
      <c r="AQ18" s="31" t="s">
        <v>53</v>
      </c>
      <c r="AR18" s="31" t="s">
        <v>53</v>
      </c>
      <c r="AS18" s="31" t="s">
        <v>53</v>
      </c>
      <c r="AT18" s="31" t="s">
        <v>53</v>
      </c>
      <c r="AU18" s="31" t="s">
        <v>53</v>
      </c>
      <c r="AV18" s="31" t="s">
        <v>53</v>
      </c>
      <c r="AW18" s="31" t="s">
        <v>53</v>
      </c>
      <c r="AX18" s="31" t="s">
        <v>53</v>
      </c>
      <c r="AY18" s="31" t="s">
        <v>53</v>
      </c>
      <c r="AZ18" s="31"/>
      <c r="BA18" s="31"/>
      <c r="BB18" s="31"/>
      <c r="BC18" s="31"/>
    </row>
    <row r="19" spans="1:55" x14ac:dyDescent="0.2">
      <c r="A19" s="106" t="s">
        <v>59</v>
      </c>
      <c r="B19" s="107"/>
      <c r="C19" s="107">
        <v>38.69</v>
      </c>
      <c r="D19" s="108"/>
      <c r="E19" s="107">
        <v>85.93</v>
      </c>
      <c r="F19" s="107">
        <v>362.38</v>
      </c>
      <c r="G19" s="107"/>
      <c r="H19" s="107">
        <v>298.88</v>
      </c>
      <c r="I19" s="107">
        <v>865.99</v>
      </c>
      <c r="J19" s="109"/>
      <c r="K19" s="107">
        <v>157.11000000000001</v>
      </c>
      <c r="L19" s="107">
        <v>22.45</v>
      </c>
      <c r="M19" s="107">
        <v>273.12</v>
      </c>
      <c r="N19" s="107">
        <v>53.36</v>
      </c>
      <c r="O19" s="107">
        <v>220.73</v>
      </c>
      <c r="P19" s="107">
        <v>122.54</v>
      </c>
      <c r="Q19" s="107">
        <v>378.83</v>
      </c>
      <c r="R19" s="107">
        <v>177.61</v>
      </c>
      <c r="S19" s="107">
        <v>706.54</v>
      </c>
      <c r="T19" s="108"/>
      <c r="U19" s="107">
        <v>31.86</v>
      </c>
      <c r="V19" s="107">
        <v>288.22000000000003</v>
      </c>
      <c r="W19" s="107">
        <v>52.1</v>
      </c>
      <c r="X19" s="107">
        <v>-257.99</v>
      </c>
      <c r="Y19" s="107">
        <v>1297.58</v>
      </c>
      <c r="Z19" s="107">
        <v>230.25</v>
      </c>
      <c r="AA19" s="107">
        <v>3190.9</v>
      </c>
      <c r="AB19" s="107">
        <v>-2078.4699999999998</v>
      </c>
      <c r="AC19" s="107">
        <v>22.06</v>
      </c>
      <c r="AD19" s="107">
        <v>0</v>
      </c>
      <c r="AE19" s="107">
        <v>186.84</v>
      </c>
      <c r="AF19" s="108">
        <v>0</v>
      </c>
      <c r="AG19" s="108">
        <v>-37.74</v>
      </c>
      <c r="AH19" s="107">
        <v>-4248.3100000000004</v>
      </c>
      <c r="AI19" s="107">
        <v>-10.58</v>
      </c>
      <c r="AJ19" s="107">
        <v>137.54</v>
      </c>
      <c r="AK19" s="107"/>
      <c r="AL19" s="107">
        <v>0</v>
      </c>
      <c r="AM19" s="107">
        <v>810.18</v>
      </c>
      <c r="AN19" s="107">
        <v>-2782.61</v>
      </c>
      <c r="AO19" s="107">
        <v>-71.040000000000006</v>
      </c>
      <c r="AP19" s="110">
        <v>30.02</v>
      </c>
      <c r="AQ19" s="107">
        <v>281.93</v>
      </c>
      <c r="AR19" s="107">
        <v>-926.33</v>
      </c>
      <c r="AS19" s="111">
        <v>-16.93</v>
      </c>
      <c r="AT19" s="107">
        <v>-899.38</v>
      </c>
      <c r="AU19" s="107">
        <v>10.16</v>
      </c>
      <c r="AV19" s="107">
        <v>11.58</v>
      </c>
      <c r="AW19" s="107">
        <v>218.42</v>
      </c>
      <c r="AX19" s="107">
        <v>0</v>
      </c>
      <c r="AY19" s="107">
        <v>624.55999999999995</v>
      </c>
      <c r="AZ19" s="107">
        <v>32.46</v>
      </c>
      <c r="BA19" s="107">
        <v>203.66</v>
      </c>
      <c r="BB19" s="107">
        <v>132.24</v>
      </c>
      <c r="BC19" s="112"/>
    </row>
    <row r="20" spans="1:55" x14ac:dyDescent="0.2">
      <c r="A20" s="113" t="s">
        <v>42</v>
      </c>
      <c r="B20" s="107"/>
      <c r="C20" s="107">
        <v>30.5</v>
      </c>
      <c r="D20" s="108"/>
      <c r="E20" s="107">
        <v>51.83</v>
      </c>
      <c r="F20" s="107">
        <v>238.4</v>
      </c>
      <c r="G20" s="107"/>
      <c r="H20" s="107">
        <v>293.39999999999998</v>
      </c>
      <c r="I20" s="107">
        <v>797.69</v>
      </c>
      <c r="J20" s="109"/>
      <c r="K20" s="107">
        <v>137.08000000000001</v>
      </c>
      <c r="L20" s="107">
        <v>24.09</v>
      </c>
      <c r="M20" s="107">
        <v>224.74</v>
      </c>
      <c r="N20" s="107">
        <v>52.92</v>
      </c>
      <c r="O20" s="107">
        <v>148.15</v>
      </c>
      <c r="P20" s="107">
        <v>113.95</v>
      </c>
      <c r="Q20" s="107">
        <v>416.42</v>
      </c>
      <c r="R20" s="107">
        <v>167.36</v>
      </c>
      <c r="S20" s="107">
        <v>588.32000000000005</v>
      </c>
      <c r="T20" s="108"/>
      <c r="U20" s="107">
        <v>31.49</v>
      </c>
      <c r="V20" s="107">
        <v>308.42</v>
      </c>
      <c r="W20" s="107">
        <v>17.309999999999999</v>
      </c>
      <c r="X20" s="107">
        <v>-244.44</v>
      </c>
      <c r="Y20" s="107">
        <v>1030.1500000000001</v>
      </c>
      <c r="Z20" s="107">
        <v>186.57</v>
      </c>
      <c r="AA20" s="107">
        <v>2535.77</v>
      </c>
      <c r="AB20" s="107">
        <v>-245.17</v>
      </c>
      <c r="AC20" s="107">
        <v>23.19</v>
      </c>
      <c r="AD20" s="107">
        <v>0</v>
      </c>
      <c r="AE20" s="107">
        <v>127.97</v>
      </c>
      <c r="AF20" s="108">
        <v>0</v>
      </c>
      <c r="AG20" s="108">
        <v>-37.74</v>
      </c>
      <c r="AH20" s="107">
        <v>-2169.84</v>
      </c>
      <c r="AI20" s="107">
        <v>-10.58</v>
      </c>
      <c r="AJ20" s="107">
        <v>111.71</v>
      </c>
      <c r="AK20" s="107"/>
      <c r="AL20" s="107">
        <v>0</v>
      </c>
      <c r="AM20" s="107">
        <v>19.45</v>
      </c>
      <c r="AN20" s="107">
        <v>-2533.6999999999998</v>
      </c>
      <c r="AO20" s="107">
        <v>-71.040000000000006</v>
      </c>
      <c r="AP20" s="110">
        <v>32.42</v>
      </c>
      <c r="AQ20" s="107">
        <v>84.69</v>
      </c>
      <c r="AR20" s="107">
        <v>-926.33</v>
      </c>
      <c r="AS20" s="111">
        <v>80.31</v>
      </c>
      <c r="AT20" s="107">
        <v>-899.38</v>
      </c>
      <c r="AU20" s="107">
        <v>10.16</v>
      </c>
      <c r="AV20" s="107">
        <v>11.56</v>
      </c>
      <c r="AW20" s="107">
        <v>146.04</v>
      </c>
      <c r="AX20" s="107">
        <v>0</v>
      </c>
      <c r="AY20" s="107">
        <v>40.049999999999997</v>
      </c>
      <c r="AZ20" s="107">
        <v>10.16</v>
      </c>
      <c r="BA20" s="107">
        <v>142.77000000000001</v>
      </c>
      <c r="BB20" s="107">
        <v>124.31</v>
      </c>
      <c r="BC20" s="112"/>
    </row>
    <row r="21" spans="1:55" x14ac:dyDescent="0.2">
      <c r="A21" s="113" t="s">
        <v>43</v>
      </c>
      <c r="B21" s="107"/>
      <c r="C21" s="107">
        <v>20.239999999999998</v>
      </c>
      <c r="D21" s="108"/>
      <c r="E21" s="107">
        <v>30.74</v>
      </c>
      <c r="F21" s="107">
        <v>31.5</v>
      </c>
      <c r="G21" s="107"/>
      <c r="H21" s="107">
        <v>64.45</v>
      </c>
      <c r="I21" s="107">
        <v>211.72</v>
      </c>
      <c r="J21" s="109"/>
      <c r="K21" s="107">
        <v>37.43</v>
      </c>
      <c r="L21" s="107">
        <v>21.26</v>
      </c>
      <c r="M21" s="107">
        <v>43.64</v>
      </c>
      <c r="N21" s="107">
        <v>18.850000000000001</v>
      </c>
      <c r="O21" s="107">
        <v>32.909999999999997</v>
      </c>
      <c r="P21" s="107">
        <v>65.16</v>
      </c>
      <c r="Q21" s="107">
        <v>75.14</v>
      </c>
      <c r="R21" s="107">
        <v>53.62</v>
      </c>
      <c r="S21" s="107">
        <v>138.66999999999999</v>
      </c>
      <c r="T21" s="108"/>
      <c r="U21" s="107">
        <v>29.62</v>
      </c>
      <c r="V21" s="107">
        <v>48.28</v>
      </c>
      <c r="W21" s="107">
        <v>15.89</v>
      </c>
      <c r="X21" s="107">
        <v>-230.89</v>
      </c>
      <c r="Y21" s="107">
        <v>128.33000000000001</v>
      </c>
      <c r="Z21" s="107">
        <v>41.04</v>
      </c>
      <c r="AA21" s="107">
        <v>550.67999999999995</v>
      </c>
      <c r="AB21" s="107">
        <v>1098.6300000000001</v>
      </c>
      <c r="AC21" s="107">
        <v>2.68</v>
      </c>
      <c r="AD21" s="107">
        <v>131.75</v>
      </c>
      <c r="AE21" s="107">
        <v>46.71</v>
      </c>
      <c r="AF21" s="108">
        <v>0</v>
      </c>
      <c r="AG21" s="108">
        <v>-37.74</v>
      </c>
      <c r="AH21" s="107">
        <v>-2169.84</v>
      </c>
      <c r="AI21" s="107">
        <v>-10.58</v>
      </c>
      <c r="AJ21" s="107">
        <v>10.09</v>
      </c>
      <c r="AK21" s="107"/>
      <c r="AL21" s="107">
        <v>0</v>
      </c>
      <c r="AM21" s="107">
        <v>0</v>
      </c>
      <c r="AN21" s="107">
        <v>-2529.4899999999998</v>
      </c>
      <c r="AO21" s="107">
        <v>-71.040000000000006</v>
      </c>
      <c r="AP21" s="110">
        <v>0</v>
      </c>
      <c r="AQ21" s="107">
        <v>0</v>
      </c>
      <c r="AR21" s="107">
        <v>-926.33</v>
      </c>
      <c r="AS21" s="111">
        <v>11.23</v>
      </c>
      <c r="AT21" s="107">
        <v>-899.38</v>
      </c>
      <c r="AU21" s="107">
        <v>10.16</v>
      </c>
      <c r="AV21" s="107">
        <v>10.42</v>
      </c>
      <c r="AW21" s="107">
        <v>47.05</v>
      </c>
      <c r="AX21" s="107">
        <v>0</v>
      </c>
      <c r="AY21" s="107">
        <v>168.83</v>
      </c>
      <c r="AZ21" s="107">
        <v>17.53</v>
      </c>
      <c r="BA21" s="107">
        <v>33.869999999999997</v>
      </c>
      <c r="BB21" s="107">
        <v>41.09</v>
      </c>
      <c r="BC21" s="112"/>
    </row>
    <row r="22" spans="1:55" x14ac:dyDescent="0.2">
      <c r="A22" s="113" t="s">
        <v>44</v>
      </c>
      <c r="B22" s="107"/>
      <c r="C22" s="107">
        <v>18.510000000000002</v>
      </c>
      <c r="D22" s="108"/>
      <c r="E22" s="107">
        <v>23.79</v>
      </c>
      <c r="F22" s="107">
        <v>21.39</v>
      </c>
      <c r="G22" s="107"/>
      <c r="H22" s="107">
        <v>86.74</v>
      </c>
      <c r="I22" s="107">
        <v>22.3</v>
      </c>
      <c r="J22" s="109"/>
      <c r="K22" s="107">
        <v>19</v>
      </c>
      <c r="L22" s="107">
        <v>19.190000000000001</v>
      </c>
      <c r="M22" s="107">
        <v>19.190000000000001</v>
      </c>
      <c r="N22" s="107">
        <v>17.88</v>
      </c>
      <c r="O22" s="107">
        <v>16.07</v>
      </c>
      <c r="P22" s="107">
        <v>31.74</v>
      </c>
      <c r="Q22" s="107">
        <v>36.409999999999997</v>
      </c>
      <c r="R22" s="107">
        <v>19.079999999999998</v>
      </c>
      <c r="S22" s="107">
        <v>37.67</v>
      </c>
      <c r="T22" s="108"/>
      <c r="U22" s="107">
        <v>22.05</v>
      </c>
      <c r="V22" s="107">
        <v>24.19</v>
      </c>
      <c r="W22" s="107">
        <v>14.89</v>
      </c>
      <c r="X22" s="107">
        <v>13.55</v>
      </c>
      <c r="Y22" s="107">
        <v>62.89</v>
      </c>
      <c r="Z22" s="107">
        <v>14.27</v>
      </c>
      <c r="AA22" s="107">
        <v>370.69</v>
      </c>
      <c r="AB22" s="107">
        <v>920.44</v>
      </c>
      <c r="AC22" s="107">
        <v>0</v>
      </c>
      <c r="AD22" s="107">
        <v>0</v>
      </c>
      <c r="AE22" s="107">
        <v>27.93</v>
      </c>
      <c r="AF22" s="108">
        <v>0</v>
      </c>
      <c r="AG22" s="108">
        <v>0</v>
      </c>
      <c r="AH22" s="107">
        <v>0</v>
      </c>
      <c r="AI22" s="107">
        <v>0</v>
      </c>
      <c r="AJ22" s="107">
        <v>8.51</v>
      </c>
      <c r="AK22" s="107"/>
      <c r="AL22" s="107">
        <v>0</v>
      </c>
      <c r="AM22" s="107">
        <v>0</v>
      </c>
      <c r="AN22" s="107">
        <v>1.67</v>
      </c>
      <c r="AO22" s="107">
        <v>0</v>
      </c>
      <c r="AP22" s="110">
        <v>0</v>
      </c>
      <c r="AQ22" s="107">
        <v>0</v>
      </c>
      <c r="AR22" s="107">
        <v>0</v>
      </c>
      <c r="AS22" s="111">
        <v>0</v>
      </c>
      <c r="AT22" s="107">
        <v>0</v>
      </c>
      <c r="AU22" s="107">
        <v>10.16</v>
      </c>
      <c r="AV22" s="107">
        <v>11.3</v>
      </c>
      <c r="AW22" s="107">
        <v>14.18</v>
      </c>
      <c r="AX22" s="107">
        <v>50.22</v>
      </c>
      <c r="AY22" s="107">
        <v>-87.3</v>
      </c>
      <c r="AZ22" s="107">
        <v>12.9</v>
      </c>
      <c r="BA22" s="107">
        <v>7.34</v>
      </c>
      <c r="BB22" s="107">
        <v>13.72</v>
      </c>
      <c r="BC22" s="112"/>
    </row>
    <row r="23" spans="1:55" x14ac:dyDescent="0.2">
      <c r="A23" s="113" t="s">
        <v>45</v>
      </c>
      <c r="B23" s="107"/>
      <c r="C23" s="107">
        <v>17.93</v>
      </c>
      <c r="D23" s="108"/>
      <c r="E23" s="107">
        <v>22.59</v>
      </c>
      <c r="F23" s="107">
        <v>21.99</v>
      </c>
      <c r="G23" s="107"/>
      <c r="H23" s="107">
        <v>17.3</v>
      </c>
      <c r="I23" s="107">
        <v>20.420000000000002</v>
      </c>
      <c r="J23" s="109"/>
      <c r="K23" s="107">
        <v>13</v>
      </c>
      <c r="L23" s="107">
        <v>17.3</v>
      </c>
      <c r="M23" s="107">
        <v>13.55</v>
      </c>
      <c r="N23" s="107">
        <v>17.87</v>
      </c>
      <c r="O23" s="107">
        <v>14.27</v>
      </c>
      <c r="P23" s="107">
        <v>28.65</v>
      </c>
      <c r="Q23" s="107">
        <v>13.6</v>
      </c>
      <c r="R23" s="107">
        <v>16.07</v>
      </c>
      <c r="S23" s="107">
        <v>13.67</v>
      </c>
      <c r="T23" s="108"/>
      <c r="U23" s="107">
        <v>23.53</v>
      </c>
      <c r="V23" s="107">
        <v>18.54</v>
      </c>
      <c r="W23" s="107">
        <v>14.89</v>
      </c>
      <c r="X23" s="107">
        <v>13.55</v>
      </c>
      <c r="Y23" s="107">
        <v>22.66</v>
      </c>
      <c r="Z23" s="107">
        <v>13.67</v>
      </c>
      <c r="AA23" s="107">
        <v>216.87</v>
      </c>
      <c r="AB23" s="107">
        <v>800.06</v>
      </c>
      <c r="AC23" s="107">
        <v>0</v>
      </c>
      <c r="AD23" s="107">
        <v>0</v>
      </c>
      <c r="AE23" s="107">
        <v>29.18</v>
      </c>
      <c r="AF23" s="108">
        <v>0</v>
      </c>
      <c r="AG23" s="108">
        <v>0</v>
      </c>
      <c r="AH23" s="107">
        <v>105.46</v>
      </c>
      <c r="AI23" s="107">
        <v>0</v>
      </c>
      <c r="AJ23" s="107">
        <v>0.54</v>
      </c>
      <c r="AK23" s="107"/>
      <c r="AL23" s="107">
        <v>0</v>
      </c>
      <c r="AM23" s="107">
        <v>3.82</v>
      </c>
      <c r="AN23" s="107">
        <v>26.62</v>
      </c>
      <c r="AO23" s="107">
        <v>0</v>
      </c>
      <c r="AP23" s="110">
        <v>0</v>
      </c>
      <c r="AQ23" s="107">
        <v>0</v>
      </c>
      <c r="AR23" s="107">
        <v>0</v>
      </c>
      <c r="AS23" s="111">
        <v>0</v>
      </c>
      <c r="AT23" s="107">
        <v>0</v>
      </c>
      <c r="AU23" s="107">
        <v>10.16</v>
      </c>
      <c r="AV23" s="107">
        <v>11.3</v>
      </c>
      <c r="AW23" s="107">
        <v>13.55</v>
      </c>
      <c r="AX23" s="107">
        <v>0</v>
      </c>
      <c r="AY23" s="107">
        <v>-73.75</v>
      </c>
      <c r="AZ23" s="107">
        <v>14.62</v>
      </c>
      <c r="BA23" s="107">
        <v>7.34</v>
      </c>
      <c r="BB23" s="107">
        <v>13.72</v>
      </c>
      <c r="BC23" s="112"/>
    </row>
    <row r="24" spans="1:55" x14ac:dyDescent="0.2">
      <c r="A24" s="113" t="s">
        <v>46</v>
      </c>
      <c r="B24" s="107"/>
      <c r="C24" s="107">
        <v>19.12</v>
      </c>
      <c r="D24" s="108"/>
      <c r="E24" s="107">
        <v>23.74</v>
      </c>
      <c r="F24" s="107">
        <v>27.33</v>
      </c>
      <c r="G24" s="107"/>
      <c r="H24" s="107">
        <v>16.68</v>
      </c>
      <c r="I24" s="107">
        <v>19.78</v>
      </c>
      <c r="J24" s="109"/>
      <c r="K24" s="107">
        <v>13</v>
      </c>
      <c r="L24" s="107">
        <v>16.68</v>
      </c>
      <c r="M24" s="107">
        <v>13.55</v>
      </c>
      <c r="N24" s="107">
        <v>17.86</v>
      </c>
      <c r="O24" s="107">
        <v>14.27</v>
      </c>
      <c r="P24" s="107">
        <v>27.98</v>
      </c>
      <c r="Q24" s="107">
        <v>13</v>
      </c>
      <c r="R24" s="107">
        <v>15.46</v>
      </c>
      <c r="S24" s="107">
        <v>14.27</v>
      </c>
      <c r="T24" s="108"/>
      <c r="U24" s="107">
        <v>19.18</v>
      </c>
      <c r="V24" s="107">
        <v>18.53</v>
      </c>
      <c r="W24" s="107">
        <v>14.88</v>
      </c>
      <c r="X24" s="107">
        <v>13.55</v>
      </c>
      <c r="Y24" s="107">
        <v>21.43</v>
      </c>
      <c r="Z24" s="107">
        <v>14.27</v>
      </c>
      <c r="AA24" s="107">
        <v>133.76</v>
      </c>
      <c r="AB24" s="107">
        <v>205.44</v>
      </c>
      <c r="AC24" s="107">
        <v>0</v>
      </c>
      <c r="AD24" s="107">
        <v>0</v>
      </c>
      <c r="AE24" s="107">
        <v>27.25</v>
      </c>
      <c r="AF24" s="108">
        <v>1.26</v>
      </c>
      <c r="AG24" s="108">
        <v>0</v>
      </c>
      <c r="AH24" s="107">
        <v>208.83</v>
      </c>
      <c r="AI24" s="107">
        <v>0</v>
      </c>
      <c r="AJ24" s="107">
        <v>0</v>
      </c>
      <c r="AK24" s="107"/>
      <c r="AL24" s="107">
        <v>4.3600000000000003</v>
      </c>
      <c r="AM24" s="107">
        <v>0</v>
      </c>
      <c r="AN24" s="107">
        <v>175.68</v>
      </c>
      <c r="AO24" s="107">
        <v>0</v>
      </c>
      <c r="AP24" s="110">
        <v>0</v>
      </c>
      <c r="AQ24" s="107">
        <v>0</v>
      </c>
      <c r="AR24" s="107">
        <v>0</v>
      </c>
      <c r="AS24" s="111">
        <v>0</v>
      </c>
      <c r="AT24" s="107">
        <v>0</v>
      </c>
      <c r="AU24" s="107">
        <v>10.16</v>
      </c>
      <c r="AV24" s="107">
        <v>10.42</v>
      </c>
      <c r="AW24" s="107">
        <v>14.18</v>
      </c>
      <c r="AX24" s="107">
        <v>0</v>
      </c>
      <c r="AY24" s="107">
        <v>-60.2</v>
      </c>
      <c r="AZ24" s="107">
        <v>15.56</v>
      </c>
      <c r="BA24" s="107">
        <v>0</v>
      </c>
      <c r="BB24" s="107">
        <v>13.72</v>
      </c>
      <c r="BC24" s="112"/>
    </row>
    <row r="25" spans="1:55" x14ac:dyDescent="0.2">
      <c r="A25" s="113" t="s">
        <v>47</v>
      </c>
      <c r="B25" s="107"/>
      <c r="C25" s="107">
        <v>18.489999999999998</v>
      </c>
      <c r="D25" s="108"/>
      <c r="E25" s="107">
        <v>23.74</v>
      </c>
      <c r="F25" s="107">
        <v>16.579999999999998</v>
      </c>
      <c r="G25" s="107"/>
      <c r="H25" s="107">
        <v>18.53</v>
      </c>
      <c r="I25" s="107">
        <v>21.64</v>
      </c>
      <c r="J25" s="109"/>
      <c r="K25" s="107">
        <v>13</v>
      </c>
      <c r="L25" s="107">
        <v>16.68</v>
      </c>
      <c r="M25" s="107">
        <v>13.55</v>
      </c>
      <c r="N25" s="107">
        <v>17.86</v>
      </c>
      <c r="O25" s="107">
        <v>14.27</v>
      </c>
      <c r="P25" s="107">
        <v>26.24</v>
      </c>
      <c r="Q25" s="107">
        <v>14.19</v>
      </c>
      <c r="R25" s="107">
        <v>16.059999999999999</v>
      </c>
      <c r="S25" s="107">
        <v>14.86</v>
      </c>
      <c r="T25" s="108"/>
      <c r="U25" s="107">
        <v>19.18</v>
      </c>
      <c r="V25" s="107">
        <v>16.04</v>
      </c>
      <c r="W25" s="107">
        <v>14.28</v>
      </c>
      <c r="X25" s="107">
        <v>13.55</v>
      </c>
      <c r="Y25" s="107">
        <v>15.46</v>
      </c>
      <c r="Z25" s="107">
        <v>14.27</v>
      </c>
      <c r="AA25" s="107">
        <v>129.57</v>
      </c>
      <c r="AB25" s="107">
        <v>1307.0899999999999</v>
      </c>
      <c r="AC25" s="107">
        <v>0</v>
      </c>
      <c r="AD25" s="107">
        <v>5.83</v>
      </c>
      <c r="AE25" s="107">
        <v>35.97</v>
      </c>
      <c r="AF25" s="108">
        <v>2.31</v>
      </c>
      <c r="AG25" s="108">
        <v>18.78</v>
      </c>
      <c r="AH25" s="107">
        <v>2.17</v>
      </c>
      <c r="AI25" s="107">
        <v>1.68</v>
      </c>
      <c r="AJ25" s="107">
        <v>2.11</v>
      </c>
      <c r="AK25" s="107"/>
      <c r="AL25" s="107">
        <v>1150.7</v>
      </c>
      <c r="AM25" s="107">
        <v>82.15</v>
      </c>
      <c r="AN25" s="107">
        <v>6.62</v>
      </c>
      <c r="AO25" s="107">
        <v>15.67</v>
      </c>
      <c r="AP25" s="110">
        <v>2.11</v>
      </c>
      <c r="AQ25" s="107">
        <v>57.75</v>
      </c>
      <c r="AR25" s="107">
        <v>4.4400000000000004</v>
      </c>
      <c r="AS25" s="111">
        <v>0</v>
      </c>
      <c r="AT25" s="107">
        <v>0</v>
      </c>
      <c r="AU25" s="107">
        <v>10.16</v>
      </c>
      <c r="AV25" s="107">
        <v>11.28</v>
      </c>
      <c r="AW25" s="107">
        <v>14.18</v>
      </c>
      <c r="AX25" s="107">
        <v>1.06</v>
      </c>
      <c r="AY25" s="107">
        <v>-46.55</v>
      </c>
      <c r="AZ25" s="107">
        <v>13.76</v>
      </c>
      <c r="BA25" s="107">
        <v>0</v>
      </c>
      <c r="BB25" s="107">
        <v>13.72</v>
      </c>
      <c r="BC25" s="112"/>
    </row>
    <row r="26" spans="1:55" ht="15" x14ac:dyDescent="0.2">
      <c r="A26" s="113" t="s">
        <v>48</v>
      </c>
      <c r="B26" s="107"/>
      <c r="C26" s="107">
        <v>20.88</v>
      </c>
      <c r="D26" s="108"/>
      <c r="E26" s="107">
        <v>22.56</v>
      </c>
      <c r="F26" s="107">
        <v>21.36</v>
      </c>
      <c r="G26" s="107"/>
      <c r="H26" s="107">
        <v>17.28</v>
      </c>
      <c r="I26" s="107">
        <v>20.41</v>
      </c>
      <c r="J26" s="109"/>
      <c r="K26" s="107">
        <v>13</v>
      </c>
      <c r="L26" s="107">
        <v>17.28</v>
      </c>
      <c r="M26" s="107">
        <v>13.55</v>
      </c>
      <c r="N26" s="107">
        <v>17.86</v>
      </c>
      <c r="O26" s="107">
        <v>14.27</v>
      </c>
      <c r="P26" s="107">
        <v>25.4</v>
      </c>
      <c r="Q26" s="107">
        <v>13.6</v>
      </c>
      <c r="R26" s="107">
        <v>16.059999999999999</v>
      </c>
      <c r="S26" s="107">
        <v>138.54</v>
      </c>
      <c r="T26" s="108"/>
      <c r="U26" s="107">
        <v>22.77</v>
      </c>
      <c r="V26" s="107">
        <v>16.68</v>
      </c>
      <c r="W26" s="107">
        <v>14.28</v>
      </c>
      <c r="X26" s="107">
        <v>13.55</v>
      </c>
      <c r="Y26" s="107">
        <v>28.61</v>
      </c>
      <c r="Z26" s="107">
        <v>13.67</v>
      </c>
      <c r="AA26" s="107">
        <v>154.69</v>
      </c>
      <c r="AB26" s="107">
        <v>756.36</v>
      </c>
      <c r="AC26" s="107">
        <v>13009.54</v>
      </c>
      <c r="AD26" s="107">
        <v>17213.78</v>
      </c>
      <c r="AE26" s="107">
        <v>39.090000000000003</v>
      </c>
      <c r="AF26" s="108">
        <v>6061.69</v>
      </c>
      <c r="AG26" s="108">
        <v>4697.6099999999997</v>
      </c>
      <c r="AH26" s="108">
        <v>10331.209999999999</v>
      </c>
      <c r="AI26" s="114">
        <v>10310.4</v>
      </c>
      <c r="AJ26" s="107">
        <v>1666.14</v>
      </c>
      <c r="AK26" s="107"/>
      <c r="AL26" s="107">
        <v>16952.61</v>
      </c>
      <c r="AM26" s="107">
        <v>31910.95</v>
      </c>
      <c r="AN26" s="107">
        <v>17387.66</v>
      </c>
      <c r="AO26" s="107">
        <v>10298.86</v>
      </c>
      <c r="AP26" s="110">
        <v>4596.38</v>
      </c>
      <c r="AQ26" s="107">
        <v>6054.43</v>
      </c>
      <c r="AR26" s="107">
        <v>5413.16</v>
      </c>
      <c r="AS26" s="111">
        <v>1857.43</v>
      </c>
      <c r="AT26" s="107">
        <v>2091.37</v>
      </c>
      <c r="AU26" s="107">
        <v>10.16</v>
      </c>
      <c r="AV26" s="107">
        <v>25.97</v>
      </c>
      <c r="AW26" s="107">
        <v>14.18</v>
      </c>
      <c r="AX26" s="107">
        <v>2128.65</v>
      </c>
      <c r="AY26" s="107">
        <v>-33.1</v>
      </c>
      <c r="AZ26" s="107">
        <v>15.56</v>
      </c>
      <c r="BA26" s="107">
        <v>5616.51</v>
      </c>
      <c r="BB26" s="107">
        <v>13.72</v>
      </c>
      <c r="BC26" s="112"/>
    </row>
    <row r="27" spans="1:55" ht="15" x14ac:dyDescent="0.2">
      <c r="A27" s="113" t="s">
        <v>49</v>
      </c>
      <c r="B27" s="107"/>
      <c r="C27" s="107">
        <v>48.03</v>
      </c>
      <c r="D27" s="108"/>
      <c r="E27" s="107">
        <v>21.36</v>
      </c>
      <c r="F27" s="107">
        <v>21.36</v>
      </c>
      <c r="G27" s="111"/>
      <c r="H27" s="107">
        <v>15.42</v>
      </c>
      <c r="I27" s="107">
        <v>26</v>
      </c>
      <c r="J27" s="109"/>
      <c r="K27" s="107">
        <v>13.55</v>
      </c>
      <c r="L27" s="107">
        <v>19.78</v>
      </c>
      <c r="M27" s="107">
        <v>13.55</v>
      </c>
      <c r="N27" s="107">
        <v>17.86</v>
      </c>
      <c r="O27" s="107">
        <v>14.27</v>
      </c>
      <c r="P27" s="107">
        <v>27.13</v>
      </c>
      <c r="Q27" s="107">
        <v>16.579999999999998</v>
      </c>
      <c r="R27" s="107">
        <v>15.46</v>
      </c>
      <c r="S27" s="107">
        <v>262.16000000000003</v>
      </c>
      <c r="T27" s="108"/>
      <c r="U27" s="107">
        <v>19.190000000000001</v>
      </c>
      <c r="V27" s="107">
        <v>16.04</v>
      </c>
      <c r="W27" s="107">
        <v>14.88</v>
      </c>
      <c r="X27" s="107">
        <v>13.55</v>
      </c>
      <c r="Y27" s="107">
        <v>22.64</v>
      </c>
      <c r="Z27" s="107">
        <v>14.27</v>
      </c>
      <c r="AA27" s="107">
        <v>141.55000000000001</v>
      </c>
      <c r="AB27" s="107">
        <v>777.99</v>
      </c>
      <c r="AC27" s="107">
        <v>3871.02</v>
      </c>
      <c r="AD27" s="107">
        <v>22206.36</v>
      </c>
      <c r="AE27" s="107">
        <v>45.94</v>
      </c>
      <c r="AF27" s="108">
        <v>0</v>
      </c>
      <c r="AG27" s="108">
        <v>19226.48</v>
      </c>
      <c r="AH27" s="108">
        <v>0</v>
      </c>
      <c r="AI27" s="114">
        <v>31602.97</v>
      </c>
      <c r="AJ27" s="114">
        <v>17969.849999999999</v>
      </c>
      <c r="AK27" s="107"/>
      <c r="AL27" s="114">
        <v>8378.81</v>
      </c>
      <c r="AM27" s="114">
        <v>41404.019999999997</v>
      </c>
      <c r="AN27" s="107">
        <v>25852.36</v>
      </c>
      <c r="AO27" s="107">
        <v>39686</v>
      </c>
      <c r="AP27" s="115">
        <v>19462.169999999998</v>
      </c>
      <c r="AQ27" s="107">
        <v>9229.4599999999991</v>
      </c>
      <c r="AR27" s="114">
        <v>0</v>
      </c>
      <c r="AS27" s="109">
        <v>13277.95</v>
      </c>
      <c r="AT27" s="107">
        <v>31733.759999999998</v>
      </c>
      <c r="AU27" s="107">
        <v>10.16</v>
      </c>
      <c r="AV27" s="107">
        <v>25.98</v>
      </c>
      <c r="AW27" s="107">
        <v>14.18</v>
      </c>
      <c r="AX27" s="107">
        <v>12999.54</v>
      </c>
      <c r="AY27" s="107">
        <v>-19.55</v>
      </c>
      <c r="AZ27" s="107">
        <v>14.66</v>
      </c>
      <c r="BA27" s="107">
        <v>57524.160000000003</v>
      </c>
      <c r="BB27" s="107">
        <v>26.87</v>
      </c>
      <c r="BC27" s="112"/>
    </row>
    <row r="28" spans="1:55" ht="15" x14ac:dyDescent="0.2">
      <c r="A28" s="113" t="s">
        <v>50</v>
      </c>
      <c r="B28" s="107"/>
      <c r="C28" s="107">
        <v>22.08</v>
      </c>
      <c r="D28" s="108"/>
      <c r="E28" s="107">
        <v>25.37</v>
      </c>
      <c r="F28" s="107">
        <v>29.49</v>
      </c>
      <c r="G28" s="111"/>
      <c r="H28" s="107">
        <v>102.36</v>
      </c>
      <c r="I28" s="107">
        <v>82.14</v>
      </c>
      <c r="J28" s="109"/>
      <c r="K28" s="107">
        <v>33.57</v>
      </c>
      <c r="L28" s="107">
        <v>19.61</v>
      </c>
      <c r="M28" s="107">
        <v>14.16</v>
      </c>
      <c r="N28" s="107">
        <v>17.149999999999999</v>
      </c>
      <c r="O28" s="107">
        <v>34.590000000000003</v>
      </c>
      <c r="P28" s="107">
        <v>47.46</v>
      </c>
      <c r="Q28" s="107">
        <v>75.739999999999995</v>
      </c>
      <c r="R28" s="107">
        <v>43.32</v>
      </c>
      <c r="S28" s="107">
        <v>-26.17</v>
      </c>
      <c r="T28" s="108"/>
      <c r="U28" s="107">
        <v>23.94</v>
      </c>
      <c r="V28" s="107">
        <v>55.32</v>
      </c>
      <c r="W28" s="107">
        <v>15.89</v>
      </c>
      <c r="X28" s="107">
        <v>13.55</v>
      </c>
      <c r="Y28" s="107">
        <v>107.8</v>
      </c>
      <c r="Z28" s="107">
        <v>25.28</v>
      </c>
      <c r="AA28" s="107">
        <v>687.12</v>
      </c>
      <c r="AB28" s="107">
        <v>835.28</v>
      </c>
      <c r="AC28" s="114">
        <v>2288.4699999999998</v>
      </c>
      <c r="AD28" s="107">
        <v>6302.16</v>
      </c>
      <c r="AE28" s="107">
        <v>56.57</v>
      </c>
      <c r="AF28" s="107">
        <v>26837.62</v>
      </c>
      <c r="AG28" s="108">
        <v>0</v>
      </c>
      <c r="AH28" s="114">
        <v>52539.47</v>
      </c>
      <c r="AI28" s="114">
        <v>440.03</v>
      </c>
      <c r="AJ28" s="114">
        <v>24455.3</v>
      </c>
      <c r="AK28" s="107"/>
      <c r="AL28" s="114">
        <v>4412.18</v>
      </c>
      <c r="AM28" s="114">
        <v>39195.72</v>
      </c>
      <c r="AN28" s="114">
        <v>11674.29</v>
      </c>
      <c r="AO28" s="114">
        <v>7193.91</v>
      </c>
      <c r="AP28" s="115">
        <v>34141.07</v>
      </c>
      <c r="AQ28" s="114">
        <v>9232.02</v>
      </c>
      <c r="AR28" s="114">
        <v>22412.48</v>
      </c>
      <c r="AS28" s="109">
        <v>1953.74</v>
      </c>
      <c r="AT28" s="107">
        <v>2642.55</v>
      </c>
      <c r="AU28" s="107">
        <v>10.16</v>
      </c>
      <c r="AV28" s="107">
        <v>33.31</v>
      </c>
      <c r="AW28" s="107">
        <v>49.84</v>
      </c>
      <c r="AX28" s="107">
        <v>2054.08</v>
      </c>
      <c r="AY28" s="107">
        <v>4.2</v>
      </c>
      <c r="AZ28" s="107">
        <v>15.1</v>
      </c>
      <c r="BA28" s="107">
        <v>26751.93</v>
      </c>
      <c r="BB28" s="107"/>
      <c r="BC28" s="112"/>
    </row>
    <row r="29" spans="1:55" ht="15" x14ac:dyDescent="0.2">
      <c r="A29" s="113" t="s">
        <v>51</v>
      </c>
      <c r="B29" s="107"/>
      <c r="C29" s="107">
        <v>20.65</v>
      </c>
      <c r="D29" s="108"/>
      <c r="E29" s="107">
        <v>23.1</v>
      </c>
      <c r="F29" s="107">
        <v>123.57</v>
      </c>
      <c r="G29" s="111"/>
      <c r="H29" s="107">
        <v>196.08</v>
      </c>
      <c r="I29" s="107">
        <v>453.2</v>
      </c>
      <c r="J29" s="109"/>
      <c r="K29" s="107">
        <v>93.75</v>
      </c>
      <c r="L29" s="107">
        <v>25.95</v>
      </c>
      <c r="M29" s="107">
        <v>78.44</v>
      </c>
      <c r="N29" s="107">
        <v>17.87</v>
      </c>
      <c r="O29" s="107">
        <v>98.28</v>
      </c>
      <c r="P29" s="107">
        <v>83.16</v>
      </c>
      <c r="Q29" s="107">
        <v>280.86</v>
      </c>
      <c r="R29" s="107">
        <v>148.63999999999999</v>
      </c>
      <c r="S29" s="107">
        <v>449.77</v>
      </c>
      <c r="T29" s="108"/>
      <c r="U29" s="107">
        <v>28.37</v>
      </c>
      <c r="V29" s="107">
        <v>157.44</v>
      </c>
      <c r="W29" s="107">
        <v>40.04</v>
      </c>
      <c r="X29" s="107">
        <v>13.55</v>
      </c>
      <c r="Y29" s="107">
        <v>587.13</v>
      </c>
      <c r="Z29" s="107">
        <v>157.72999999999999</v>
      </c>
      <c r="AA29" s="107">
        <v>1605.2</v>
      </c>
      <c r="AB29" s="107">
        <v>1325.02</v>
      </c>
      <c r="AC29" s="114">
        <v>16.64</v>
      </c>
      <c r="AD29" s="114">
        <v>236.94</v>
      </c>
      <c r="AE29" s="112">
        <v>147.65</v>
      </c>
      <c r="AF29" s="114">
        <v>2502.59</v>
      </c>
      <c r="AG29" s="114">
        <v>0</v>
      </c>
      <c r="AH29" s="114">
        <v>4978.2299999999996</v>
      </c>
      <c r="AI29" s="114"/>
      <c r="AJ29" s="114">
        <v>-18971.3</v>
      </c>
      <c r="AK29" s="107"/>
      <c r="AL29" s="114">
        <v>1792.28</v>
      </c>
      <c r="AM29" s="114">
        <v>1447.18</v>
      </c>
      <c r="AN29" s="114">
        <v>3488.63</v>
      </c>
      <c r="AO29" s="114">
        <v>1050.93</v>
      </c>
      <c r="AP29" s="115">
        <v>4865.9399999999996</v>
      </c>
      <c r="AQ29" s="114">
        <v>902.4</v>
      </c>
      <c r="AR29" s="114">
        <v>0</v>
      </c>
      <c r="AS29" s="109">
        <v>-13237.53</v>
      </c>
      <c r="AT29" s="114">
        <v>0</v>
      </c>
      <c r="AU29" s="107">
        <v>10.16</v>
      </c>
      <c r="AV29" s="107">
        <v>26.08</v>
      </c>
      <c r="AW29" s="107">
        <v>119.23</v>
      </c>
      <c r="AX29" s="114">
        <v>838.1</v>
      </c>
      <c r="AY29" s="107">
        <v>126.13</v>
      </c>
      <c r="AZ29" s="107">
        <v>15.48</v>
      </c>
      <c r="BA29" s="107">
        <v>1740.48</v>
      </c>
      <c r="BB29" s="107">
        <v>80.16</v>
      </c>
      <c r="BC29" s="112"/>
    </row>
    <row r="30" spans="1:55" ht="15" x14ac:dyDescent="0.2">
      <c r="A30" s="113" t="s">
        <v>52</v>
      </c>
      <c r="B30" s="107"/>
      <c r="C30" s="107">
        <v>50.69</v>
      </c>
      <c r="D30" s="108"/>
      <c r="E30" s="107">
        <v>28.56</v>
      </c>
      <c r="F30" s="107">
        <v>135.27000000000001</v>
      </c>
      <c r="G30" s="107"/>
      <c r="H30" s="107">
        <v>372.71</v>
      </c>
      <c r="I30" s="107">
        <v>967.34</v>
      </c>
      <c r="J30" s="109"/>
      <c r="K30" s="107">
        <v>154.36000000000001</v>
      </c>
      <c r="L30" s="107">
        <v>21.84</v>
      </c>
      <c r="M30" s="107">
        <v>253.75</v>
      </c>
      <c r="N30" s="107">
        <v>60.72</v>
      </c>
      <c r="O30" s="107">
        <v>175.8</v>
      </c>
      <c r="P30" s="107">
        <v>141.34</v>
      </c>
      <c r="Q30" s="107">
        <v>478.39</v>
      </c>
      <c r="R30" s="107">
        <v>181.59</v>
      </c>
      <c r="S30" s="107">
        <v>593.44000000000005</v>
      </c>
      <c r="T30" s="108"/>
      <c r="U30" s="107">
        <v>21.91</v>
      </c>
      <c r="V30" s="107">
        <v>279.16000000000003</v>
      </c>
      <c r="W30" s="107">
        <v>77.599999999999994</v>
      </c>
      <c r="X30" s="107">
        <v>13.55</v>
      </c>
      <c r="Y30" s="107">
        <v>606.46</v>
      </c>
      <c r="Z30" s="107">
        <v>301.02999999999997</v>
      </c>
      <c r="AA30" s="107">
        <v>3135.11</v>
      </c>
      <c r="AB30" s="107">
        <v>1465.46</v>
      </c>
      <c r="AC30" s="114">
        <v>6.25</v>
      </c>
      <c r="AD30" s="114">
        <v>0</v>
      </c>
      <c r="AE30" s="112">
        <v>145.68</v>
      </c>
      <c r="AF30" s="114">
        <v>154.88999999999999</v>
      </c>
      <c r="AG30" s="114">
        <v>0</v>
      </c>
      <c r="AH30" s="114">
        <v>2058.23</v>
      </c>
      <c r="AI30" s="114"/>
      <c r="AJ30" s="114">
        <v>-18742.37</v>
      </c>
      <c r="AK30" s="107"/>
      <c r="AL30" s="114">
        <v>324.98</v>
      </c>
      <c r="AM30" s="114">
        <v>238.19</v>
      </c>
      <c r="AN30" s="114">
        <v>438.6</v>
      </c>
      <c r="AO30" s="114">
        <v>6.19</v>
      </c>
      <c r="AP30" s="115">
        <v>11.59</v>
      </c>
      <c r="AQ30" s="114">
        <v>233.71</v>
      </c>
      <c r="AR30" s="114">
        <v>0</v>
      </c>
      <c r="AS30" s="109">
        <v>-13168.94</v>
      </c>
      <c r="AT30" s="114">
        <v>4</v>
      </c>
      <c r="AU30" s="107">
        <v>10.16</v>
      </c>
      <c r="AV30" s="107">
        <v>10.42</v>
      </c>
      <c r="AW30" s="107">
        <v>195.72</v>
      </c>
      <c r="AX30" s="114">
        <v>0</v>
      </c>
      <c r="AY30" s="107">
        <v>314</v>
      </c>
      <c r="AZ30" s="107">
        <v>21.79</v>
      </c>
      <c r="BA30" s="107">
        <v>218.21</v>
      </c>
      <c r="BB30" s="107">
        <v>133.69999999999999</v>
      </c>
      <c r="BC30" s="112"/>
    </row>
    <row r="31" spans="1:55" ht="13.5" thickBot="1" x14ac:dyDescent="0.25">
      <c r="A31" s="106" t="s">
        <v>58</v>
      </c>
      <c r="B31" s="116">
        <f>SUM(B19:B30)</f>
        <v>0</v>
      </c>
      <c r="C31" s="116">
        <f>SUM(C19:C30)</f>
        <v>325.81</v>
      </c>
      <c r="D31" s="116"/>
      <c r="E31" s="116">
        <f t="shared" ref="E31:AY31" si="4">SUM(E19:E30)</f>
        <v>383.31000000000006</v>
      </c>
      <c r="F31" s="116">
        <f t="shared" si="4"/>
        <v>1050.6200000000001</v>
      </c>
      <c r="G31" s="117">
        <f t="shared" si="4"/>
        <v>0</v>
      </c>
      <c r="H31" s="116">
        <f t="shared" si="4"/>
        <v>1499.83</v>
      </c>
      <c r="I31" s="117">
        <f t="shared" si="4"/>
        <v>3508.63</v>
      </c>
      <c r="J31" s="118">
        <f t="shared" si="4"/>
        <v>0</v>
      </c>
      <c r="K31" s="117">
        <f t="shared" si="4"/>
        <v>697.85</v>
      </c>
      <c r="L31" s="117">
        <f t="shared" si="4"/>
        <v>242.10999999999999</v>
      </c>
      <c r="M31" s="117">
        <f t="shared" si="4"/>
        <v>974.78999999999974</v>
      </c>
      <c r="N31" s="117">
        <f t="shared" si="4"/>
        <v>328.06000000000006</v>
      </c>
      <c r="O31" s="119">
        <f t="shared" si="4"/>
        <v>797.87999999999988</v>
      </c>
      <c r="P31" s="117">
        <f t="shared" si="4"/>
        <v>740.75</v>
      </c>
      <c r="Q31" s="119">
        <f t="shared" si="4"/>
        <v>1812.7599999999998</v>
      </c>
      <c r="R31" s="119">
        <f t="shared" si="4"/>
        <v>870.33</v>
      </c>
      <c r="S31" s="119">
        <f t="shared" si="4"/>
        <v>2931.7400000000002</v>
      </c>
      <c r="T31" s="117">
        <f t="shared" si="4"/>
        <v>0</v>
      </c>
      <c r="U31" s="119">
        <f t="shared" si="4"/>
        <v>293.09000000000003</v>
      </c>
      <c r="V31" s="119">
        <f t="shared" si="4"/>
        <v>1246.8600000000001</v>
      </c>
      <c r="W31" s="117">
        <f t="shared" si="4"/>
        <v>306.93</v>
      </c>
      <c r="X31" s="119">
        <f t="shared" si="4"/>
        <v>-611.37000000000035</v>
      </c>
      <c r="Y31" s="119">
        <f t="shared" si="4"/>
        <v>3931.14</v>
      </c>
      <c r="Z31" s="119">
        <f t="shared" si="4"/>
        <v>1026.32</v>
      </c>
      <c r="AA31" s="119">
        <f t="shared" si="4"/>
        <v>12851.91</v>
      </c>
      <c r="AB31" s="119">
        <f t="shared" si="4"/>
        <v>7168.13</v>
      </c>
      <c r="AC31" s="119">
        <f>SUM(AC19:AC30)</f>
        <v>19239.850000000002</v>
      </c>
      <c r="AD31" s="119">
        <f>SUM(AD19:AD30)</f>
        <v>46096.820000000007</v>
      </c>
      <c r="AE31" s="119"/>
      <c r="AF31" s="119">
        <f>SUM(AF19:AF30)</f>
        <v>35560.36</v>
      </c>
      <c r="AG31" s="119">
        <f>SUM(AG19:AG30)</f>
        <v>23829.65</v>
      </c>
      <c r="AH31" s="119">
        <f>SUM(AH19:AH30)</f>
        <v>61635.609999999993</v>
      </c>
      <c r="AI31" s="119">
        <f>SUM(AI19:AI30)</f>
        <v>42323.34</v>
      </c>
      <c r="AJ31" s="119">
        <f>SUM(AJ19:AJ30)</f>
        <v>6648.1199999999953</v>
      </c>
      <c r="AK31" s="119">
        <f t="shared" si="4"/>
        <v>0</v>
      </c>
      <c r="AL31" s="119">
        <f t="shared" si="4"/>
        <v>33015.920000000006</v>
      </c>
      <c r="AM31" s="117">
        <f t="shared" si="4"/>
        <v>115111.66</v>
      </c>
      <c r="AN31" s="117">
        <f t="shared" si="4"/>
        <v>51206.329999999994</v>
      </c>
      <c r="AO31" s="119">
        <f t="shared" si="4"/>
        <v>58038.44000000001</v>
      </c>
      <c r="AP31" s="119">
        <f t="shared" si="4"/>
        <v>63141.7</v>
      </c>
      <c r="AQ31" s="119">
        <f t="shared" si="4"/>
        <v>26076.39</v>
      </c>
      <c r="AR31" s="119">
        <f t="shared" si="4"/>
        <v>25051.09</v>
      </c>
      <c r="AS31" s="119">
        <f t="shared" si="4"/>
        <v>-9242.739999999998</v>
      </c>
      <c r="AT31" s="119">
        <f t="shared" si="4"/>
        <v>33773.54</v>
      </c>
      <c r="AU31" s="119">
        <f t="shared" si="4"/>
        <v>121.91999999999997</v>
      </c>
      <c r="AV31" s="119">
        <f t="shared" si="4"/>
        <v>199.61999999999998</v>
      </c>
      <c r="AW31" s="119">
        <f t="shared" si="4"/>
        <v>860.75000000000011</v>
      </c>
      <c r="AX31" s="119">
        <f>SUM(AX19:AX30)</f>
        <v>18071.650000000001</v>
      </c>
      <c r="AY31" s="119">
        <f t="shared" si="4"/>
        <v>957.32</v>
      </c>
      <c r="AZ31" s="133"/>
      <c r="BA31" s="133"/>
      <c r="BB31" s="133"/>
      <c r="BC31" s="120"/>
    </row>
    <row r="32" spans="1:55" ht="13.5" thickTop="1" x14ac:dyDescent="0.2">
      <c r="A32" s="120"/>
      <c r="B32" s="120" t="str">
        <f t="shared" ref="B32:AY32" si="5">IF(B16=0,"",(B31/B16))</f>
        <v/>
      </c>
      <c r="C32" s="120" t="str">
        <f t="shared" si="5"/>
        <v/>
      </c>
      <c r="D32" s="120" t="str">
        <f t="shared" si="5"/>
        <v/>
      </c>
      <c r="E32" s="120">
        <f t="shared" si="5"/>
        <v>12.404854368932041</v>
      </c>
      <c r="F32" s="120">
        <f t="shared" si="5"/>
        <v>27.409146643708748</v>
      </c>
      <c r="G32" s="120" t="str">
        <f t="shared" si="5"/>
        <v/>
      </c>
      <c r="H32" s="120">
        <f t="shared" si="5"/>
        <v>8.8329210836277969</v>
      </c>
      <c r="I32" s="120">
        <f t="shared" si="5"/>
        <v>23.393517932032296</v>
      </c>
      <c r="J32" s="120" t="str">
        <f t="shared" si="5"/>
        <v/>
      </c>
      <c r="K32" s="120">
        <f t="shared" si="5"/>
        <v>10.12844702467344</v>
      </c>
      <c r="L32" s="120">
        <f t="shared" si="5"/>
        <v>21.811711711711713</v>
      </c>
      <c r="M32" s="120">
        <f t="shared" si="5"/>
        <v>9.856319514661271</v>
      </c>
      <c r="N32" s="120">
        <f t="shared" si="5"/>
        <v>14.97990867579909</v>
      </c>
      <c r="O32" s="120">
        <f t="shared" si="5"/>
        <v>9.7659730722154201</v>
      </c>
      <c r="P32" s="120">
        <f t="shared" si="5"/>
        <v>11.466718266253871</v>
      </c>
      <c r="Q32" s="120">
        <f t="shared" si="5"/>
        <v>8.3383624655013779</v>
      </c>
      <c r="R32" s="120">
        <f t="shared" si="5"/>
        <v>9.3483351235230945</v>
      </c>
      <c r="S32" s="120">
        <f t="shared" si="5"/>
        <v>7.7703153988868277</v>
      </c>
      <c r="T32" s="120" t="str">
        <f t="shared" si="5"/>
        <v/>
      </c>
      <c r="U32" s="120">
        <f t="shared" si="5"/>
        <v>17.656024096385543</v>
      </c>
      <c r="V32" s="120">
        <f t="shared" si="5"/>
        <v>9.325804038893045</v>
      </c>
      <c r="W32" s="120">
        <f t="shared" si="5"/>
        <v>15.194554455445546</v>
      </c>
      <c r="X32" s="120" t="str">
        <f t="shared" si="5"/>
        <v/>
      </c>
      <c r="Y32" s="120">
        <f t="shared" si="5"/>
        <v>8.1660573327793937</v>
      </c>
      <c r="Z32" s="120">
        <f t="shared" si="5"/>
        <v>9.1472370766488407</v>
      </c>
      <c r="AA32" s="120">
        <f t="shared" si="5"/>
        <v>7.4215568516486687</v>
      </c>
      <c r="AB32" s="120">
        <f t="shared" si="5"/>
        <v>4.025908452681831</v>
      </c>
      <c r="AC32" s="120">
        <f t="shared" si="5"/>
        <v>8.4024150580836761</v>
      </c>
      <c r="AD32" s="120">
        <f t="shared" si="5"/>
        <v>4.1941278159915578</v>
      </c>
      <c r="AE32" s="120" t="str">
        <f t="shared" si="5"/>
        <v/>
      </c>
      <c r="AF32" s="120">
        <f t="shared" si="5"/>
        <v>4.100547733536283</v>
      </c>
      <c r="AG32" s="120">
        <f t="shared" si="5"/>
        <v>4.1985393872121506</v>
      </c>
      <c r="AH32" s="120">
        <f t="shared" si="5"/>
        <v>3.4549496070583747</v>
      </c>
      <c r="AI32" s="120">
        <f t="shared" si="5"/>
        <v>4.2205165536497802</v>
      </c>
      <c r="AJ32" s="120">
        <f t="shared" si="5"/>
        <v>1.1980321487782015</v>
      </c>
      <c r="AK32" s="120" t="str">
        <f t="shared" si="5"/>
        <v/>
      </c>
      <c r="AL32" s="120">
        <f t="shared" si="5"/>
        <v>4.5743626690312578</v>
      </c>
      <c r="AM32" s="120">
        <f t="shared" si="5"/>
        <v>4.4946705869031307</v>
      </c>
      <c r="AN32" s="120">
        <f t="shared" si="5"/>
        <v>3.9593849793936391</v>
      </c>
      <c r="AO32" s="120">
        <f t="shared" si="5"/>
        <v>4.0287406029390329</v>
      </c>
      <c r="AP32" s="120">
        <f t="shared" si="5"/>
        <v>4.0440970198484623</v>
      </c>
      <c r="AQ32" s="120">
        <f t="shared" si="5"/>
        <v>4.39692273968907</v>
      </c>
      <c r="AR32" s="120">
        <f t="shared" si="5"/>
        <v>3.6040585256373365</v>
      </c>
      <c r="AS32" s="120">
        <f t="shared" si="5"/>
        <v>-2.3251591154939493</v>
      </c>
      <c r="AT32" s="120">
        <f t="shared" si="5"/>
        <v>3.8819714715922804</v>
      </c>
      <c r="AU32" s="120" t="str">
        <f t="shared" si="5"/>
        <v/>
      </c>
      <c r="AV32" s="120">
        <f t="shared" si="5"/>
        <v>23.484705882352937</v>
      </c>
      <c r="AW32" s="120">
        <f t="shared" si="5"/>
        <v>10.126470588235296</v>
      </c>
      <c r="AX32" s="120">
        <f t="shared" si="5"/>
        <v>4.2915340774162907</v>
      </c>
      <c r="AY32" s="120">
        <f t="shared" si="5"/>
        <v>6.4249664429530204</v>
      </c>
      <c r="AZ32" s="120"/>
      <c r="BA32" s="120"/>
      <c r="BB32" s="120"/>
      <c r="BC32" s="120"/>
    </row>
  </sheetData>
  <phoneticPr fontId="17" type="noConversion"/>
  <pageMargins left="0.75" right="0.75" top="1" bottom="1" header="0.5" footer="0.5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54"/>
  <sheetViews>
    <sheetView topLeftCell="AP1" workbookViewId="0">
      <selection activeCell="AP2" sqref="A2:IV2"/>
    </sheetView>
  </sheetViews>
  <sheetFormatPr defaultRowHeight="12.75" x14ac:dyDescent="0.2"/>
  <cols>
    <col min="1" max="1" width="11.42578125" customWidth="1"/>
    <col min="2" max="3" width="9.28515625" bestFit="1" customWidth="1"/>
    <col min="5" max="5" width="10.425781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11.85546875" customWidth="1"/>
    <col min="10" max="10" width="9.28515625" bestFit="1" customWidth="1"/>
    <col min="11" max="11" width="9.7109375" bestFit="1" customWidth="1"/>
    <col min="12" max="12" width="9.28515625" bestFit="1" customWidth="1"/>
    <col min="13" max="13" width="9.7109375" bestFit="1" customWidth="1"/>
    <col min="14" max="14" width="9.85546875" customWidth="1"/>
    <col min="15" max="15" width="10.140625" customWidth="1"/>
    <col min="16" max="16" width="9.28515625" bestFit="1" customWidth="1"/>
    <col min="17" max="17" width="9.7109375" bestFit="1" customWidth="1"/>
    <col min="18" max="18" width="9.28515625" bestFit="1" customWidth="1"/>
    <col min="19" max="19" width="11" customWidth="1"/>
    <col min="20" max="21" width="9.28515625" bestFit="1" customWidth="1"/>
    <col min="22" max="23" width="9.7109375" bestFit="1" customWidth="1"/>
    <col min="24" max="24" width="11.28515625" customWidth="1"/>
    <col min="25" max="25" width="11" customWidth="1"/>
    <col min="26" max="26" width="11.42578125" customWidth="1"/>
    <col min="27" max="27" width="11" customWidth="1"/>
    <col min="28" max="28" width="10.7109375" customWidth="1"/>
    <col min="29" max="29" width="11.5703125" customWidth="1"/>
    <col min="30" max="30" width="14.140625" customWidth="1"/>
    <col min="31" max="31" width="14.42578125" customWidth="1"/>
    <col min="32" max="32" width="15" customWidth="1"/>
    <col min="33" max="33" width="14.42578125" customWidth="1"/>
    <col min="34" max="34" width="14.5703125" customWidth="1"/>
    <col min="35" max="35" width="13.85546875" customWidth="1"/>
    <col min="36" max="36" width="14.140625" customWidth="1"/>
    <col min="37" max="37" width="12.5703125" customWidth="1"/>
    <col min="38" max="38" width="13.85546875" customWidth="1"/>
    <col min="39" max="39" width="15.7109375" customWidth="1"/>
    <col min="40" max="40" width="13.85546875" customWidth="1"/>
    <col min="41" max="41" width="15.28515625" customWidth="1"/>
    <col min="42" max="42" width="15.5703125" customWidth="1"/>
    <col min="43" max="43" width="16.140625" customWidth="1"/>
    <col min="44" max="44" width="14" customWidth="1"/>
    <col min="45" max="46" width="12.42578125" customWidth="1"/>
    <col min="47" max="47" width="14.42578125" customWidth="1"/>
    <col min="48" max="48" width="11.140625" customWidth="1"/>
    <col min="49" max="49" width="9.28515625" bestFit="1" customWidth="1"/>
    <col min="50" max="50" width="14.85546875" customWidth="1"/>
    <col min="51" max="51" width="14.5703125" customWidth="1"/>
    <col min="52" max="52" width="10.5703125" customWidth="1"/>
  </cols>
  <sheetData>
    <row r="1" spans="1:53" x14ac:dyDescent="0.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V1" s="3"/>
      <c r="X1" s="2"/>
      <c r="Y1" s="3"/>
      <c r="AA1" s="2"/>
      <c r="AB1" s="3"/>
      <c r="AD1" s="2"/>
      <c r="AE1" s="2"/>
      <c r="AF1" s="2"/>
      <c r="AG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53" s="1" customFormat="1" x14ac:dyDescent="0.2">
      <c r="A2" s="1" t="s">
        <v>64</v>
      </c>
      <c r="B2" s="47">
        <v>594386</v>
      </c>
      <c r="C2" s="26">
        <v>1588956</v>
      </c>
      <c r="D2" s="26"/>
      <c r="E2" s="48">
        <v>33513</v>
      </c>
      <c r="F2" s="48">
        <v>33514</v>
      </c>
      <c r="G2" s="48">
        <v>105744</v>
      </c>
      <c r="H2" s="49">
        <v>263686</v>
      </c>
      <c r="I2" s="26">
        <v>263691</v>
      </c>
      <c r="J2" s="48">
        <v>263754</v>
      </c>
      <c r="K2" s="48">
        <v>539243</v>
      </c>
      <c r="L2" s="26">
        <v>539246</v>
      </c>
      <c r="M2" s="26">
        <v>574126</v>
      </c>
      <c r="N2" s="26">
        <v>637887</v>
      </c>
      <c r="O2" s="26">
        <v>637888</v>
      </c>
      <c r="P2" s="26">
        <v>637889</v>
      </c>
      <c r="Q2" s="26">
        <v>637890</v>
      </c>
      <c r="R2" s="26">
        <v>637892</v>
      </c>
      <c r="S2" s="26">
        <v>647598</v>
      </c>
      <c r="T2" s="26">
        <v>647856</v>
      </c>
      <c r="U2" s="26">
        <v>687022</v>
      </c>
      <c r="V2" s="26">
        <v>687023</v>
      </c>
      <c r="W2" s="26">
        <v>687831</v>
      </c>
      <c r="X2" s="26">
        <v>740818</v>
      </c>
      <c r="Y2" s="26">
        <v>740824</v>
      </c>
      <c r="Z2" s="26">
        <v>740838</v>
      </c>
      <c r="AA2" s="26">
        <v>740876</v>
      </c>
      <c r="AB2" s="26">
        <v>740882</v>
      </c>
      <c r="AC2" s="50">
        <v>741089</v>
      </c>
      <c r="AD2" s="50">
        <v>742815</v>
      </c>
      <c r="AE2" s="26">
        <v>742950</v>
      </c>
      <c r="AF2" s="50">
        <v>749325</v>
      </c>
      <c r="AG2" s="51">
        <v>749330</v>
      </c>
      <c r="AH2" s="50">
        <v>749334</v>
      </c>
      <c r="AI2" s="52">
        <v>749339</v>
      </c>
      <c r="AJ2" s="53">
        <v>762803</v>
      </c>
      <c r="AK2" s="54">
        <v>765933</v>
      </c>
      <c r="AL2" s="53">
        <v>868849</v>
      </c>
      <c r="AM2" s="53">
        <v>869044</v>
      </c>
      <c r="AN2" s="53">
        <v>869127</v>
      </c>
      <c r="AO2" s="53">
        <v>869308</v>
      </c>
      <c r="AP2" s="53">
        <v>869309</v>
      </c>
      <c r="AQ2" s="53">
        <v>869446</v>
      </c>
      <c r="AR2" s="53">
        <v>888353</v>
      </c>
      <c r="AS2" s="53">
        <v>888354</v>
      </c>
      <c r="AT2" s="53">
        <v>7510885</v>
      </c>
      <c r="AU2" s="53">
        <v>888355</v>
      </c>
      <c r="AV2" s="48">
        <v>1060882</v>
      </c>
      <c r="AW2" s="26">
        <v>1064052</v>
      </c>
      <c r="AX2" s="7" t="s">
        <v>2</v>
      </c>
      <c r="AY2" s="44">
        <v>672937</v>
      </c>
      <c r="AZ2" s="7">
        <v>1342205</v>
      </c>
    </row>
    <row r="3" spans="1:53" s="1" customFormat="1" ht="51" x14ac:dyDescent="0.2">
      <c r="A3" s="99">
        <v>2011</v>
      </c>
      <c r="B3" s="100" t="s">
        <v>3</v>
      </c>
      <c r="C3" s="100" t="s">
        <v>3</v>
      </c>
      <c r="D3" s="100" t="s">
        <v>3</v>
      </c>
      <c r="E3" s="101" t="s">
        <v>4</v>
      </c>
      <c r="F3" s="101" t="s">
        <v>4</v>
      </c>
      <c r="G3" s="101" t="s">
        <v>5</v>
      </c>
      <c r="H3" s="101" t="s">
        <v>6</v>
      </c>
      <c r="I3" s="101" t="s">
        <v>6</v>
      </c>
      <c r="J3" s="101" t="s">
        <v>6</v>
      </c>
      <c r="K3" s="101" t="s">
        <v>68</v>
      </c>
      <c r="L3" s="101" t="s">
        <v>8</v>
      </c>
      <c r="M3" s="101" t="s">
        <v>67</v>
      </c>
      <c r="N3" s="101" t="s">
        <v>10</v>
      </c>
      <c r="O3" s="101" t="s">
        <v>66</v>
      </c>
      <c r="P3" s="101" t="s">
        <v>65</v>
      </c>
      <c r="Q3" s="101" t="s">
        <v>63</v>
      </c>
      <c r="R3" s="101" t="s">
        <v>69</v>
      </c>
      <c r="S3" s="102" t="s">
        <v>15</v>
      </c>
      <c r="T3" s="101" t="s">
        <v>70</v>
      </c>
      <c r="U3" s="101" t="s">
        <v>71</v>
      </c>
      <c r="V3" s="101" t="s">
        <v>72</v>
      </c>
      <c r="W3" s="121" t="s">
        <v>19</v>
      </c>
      <c r="X3" s="101" t="s">
        <v>20</v>
      </c>
      <c r="Y3" s="101" t="s">
        <v>73</v>
      </c>
      <c r="Z3" s="101" t="s">
        <v>74</v>
      </c>
      <c r="AA3" s="102" t="s">
        <v>23</v>
      </c>
      <c r="AB3" s="101" t="s">
        <v>24</v>
      </c>
      <c r="AC3" s="101" t="s">
        <v>25</v>
      </c>
      <c r="AD3" s="101" t="s">
        <v>26</v>
      </c>
      <c r="AE3" s="101" t="s">
        <v>26</v>
      </c>
      <c r="AF3" s="101" t="s">
        <v>27</v>
      </c>
      <c r="AG3" s="101" t="s">
        <v>55</v>
      </c>
      <c r="AH3" s="101" t="s">
        <v>28</v>
      </c>
      <c r="AI3" s="103" t="s">
        <v>29</v>
      </c>
      <c r="AJ3" s="101" t="s">
        <v>19</v>
      </c>
      <c r="AK3" s="102" t="s">
        <v>30</v>
      </c>
      <c r="AL3" s="101" t="s">
        <v>4</v>
      </c>
      <c r="AM3" s="102" t="s">
        <v>31</v>
      </c>
      <c r="AN3" s="101" t="s">
        <v>32</v>
      </c>
      <c r="AO3" s="101" t="s">
        <v>5</v>
      </c>
      <c r="AP3" s="101" t="s">
        <v>33</v>
      </c>
      <c r="AQ3" s="101" t="s">
        <v>34</v>
      </c>
      <c r="AR3" s="101" t="s">
        <v>56</v>
      </c>
      <c r="AS3" s="101" t="s">
        <v>35</v>
      </c>
      <c r="AT3" s="101" t="s">
        <v>78</v>
      </c>
      <c r="AU3" s="101" t="s">
        <v>36</v>
      </c>
      <c r="AV3" s="101" t="s">
        <v>37</v>
      </c>
      <c r="AW3" s="104" t="s">
        <v>38</v>
      </c>
      <c r="AX3" s="85" t="s">
        <v>39</v>
      </c>
      <c r="AY3" s="104" t="s">
        <v>57</v>
      </c>
      <c r="AZ3" s="104" t="s">
        <v>40</v>
      </c>
      <c r="BA3" s="105"/>
    </row>
    <row r="4" spans="1:53" x14ac:dyDescent="0.2">
      <c r="A4" s="26" t="s">
        <v>59</v>
      </c>
      <c r="B4" s="66">
        <v>164</v>
      </c>
      <c r="C4" s="66">
        <v>14</v>
      </c>
      <c r="D4" s="86"/>
      <c r="E4" s="66">
        <v>87</v>
      </c>
      <c r="F4" s="66">
        <v>347</v>
      </c>
      <c r="G4" s="86"/>
      <c r="H4" s="66">
        <v>390</v>
      </c>
      <c r="I4" s="66">
        <v>609</v>
      </c>
      <c r="J4" s="86"/>
      <c r="K4" s="66">
        <v>327</v>
      </c>
      <c r="L4" s="66">
        <v>8</v>
      </c>
      <c r="M4" s="66">
        <v>465</v>
      </c>
      <c r="N4" s="66">
        <v>103</v>
      </c>
      <c r="O4" s="66">
        <v>292</v>
      </c>
      <c r="P4" s="66">
        <v>163</v>
      </c>
      <c r="Q4" s="66">
        <v>792</v>
      </c>
      <c r="R4" s="66">
        <v>286</v>
      </c>
      <c r="S4" s="66">
        <v>1389</v>
      </c>
      <c r="T4" s="87"/>
      <c r="U4" s="66">
        <v>19</v>
      </c>
      <c r="V4" s="66">
        <v>458</v>
      </c>
      <c r="W4" s="66">
        <v>174</v>
      </c>
      <c r="X4" s="88"/>
      <c r="Y4" s="66">
        <v>2263</v>
      </c>
      <c r="Z4" s="66">
        <v>421</v>
      </c>
      <c r="AA4" s="66">
        <v>5964</v>
      </c>
      <c r="AB4" s="66">
        <v>2487</v>
      </c>
      <c r="AC4" s="66">
        <v>61</v>
      </c>
      <c r="AD4" s="66">
        <v>1008</v>
      </c>
      <c r="AE4" s="66">
        <v>261</v>
      </c>
      <c r="AF4" s="89">
        <v>0</v>
      </c>
      <c r="AG4" s="66">
        <v>5</v>
      </c>
      <c r="AH4" s="66">
        <v>83</v>
      </c>
      <c r="AI4" s="86">
        <v>145</v>
      </c>
      <c r="AJ4" s="66">
        <v>0</v>
      </c>
      <c r="AK4" s="66">
        <v>200</v>
      </c>
      <c r="AL4" s="66">
        <v>237</v>
      </c>
      <c r="AM4" s="86">
        <v>453</v>
      </c>
      <c r="AN4" s="86">
        <v>453</v>
      </c>
      <c r="AO4" s="86">
        <v>266</v>
      </c>
      <c r="AP4" s="86">
        <v>5</v>
      </c>
      <c r="AQ4" s="66">
        <v>169</v>
      </c>
      <c r="AR4" s="66">
        <v>0</v>
      </c>
      <c r="AS4" s="90">
        <v>404</v>
      </c>
      <c r="AT4" s="90"/>
      <c r="AU4" s="86">
        <v>0</v>
      </c>
      <c r="AV4" s="86">
        <v>0</v>
      </c>
      <c r="AW4" s="86">
        <v>9</v>
      </c>
      <c r="AX4" s="86">
        <v>250</v>
      </c>
      <c r="AY4" s="86">
        <v>1508</v>
      </c>
      <c r="AZ4" s="66">
        <v>503</v>
      </c>
    </row>
    <row r="5" spans="1:53" x14ac:dyDescent="0.2">
      <c r="A5" s="25" t="s">
        <v>42</v>
      </c>
      <c r="B5" s="66">
        <v>184</v>
      </c>
      <c r="C5" s="66">
        <v>108</v>
      </c>
      <c r="D5" s="86"/>
      <c r="E5" s="66">
        <v>87</v>
      </c>
      <c r="F5" s="66">
        <v>554</v>
      </c>
      <c r="G5" s="86"/>
      <c r="H5" s="66">
        <v>400</v>
      </c>
      <c r="I5" s="66">
        <v>1053</v>
      </c>
      <c r="J5" s="86"/>
      <c r="K5" s="66">
        <v>341</v>
      </c>
      <c r="L5" s="66">
        <v>9</v>
      </c>
      <c r="M5" s="66">
        <v>491</v>
      </c>
      <c r="N5" s="66">
        <v>139</v>
      </c>
      <c r="O5" s="66">
        <v>298</v>
      </c>
      <c r="P5" s="66">
        <v>181</v>
      </c>
      <c r="Q5" s="66">
        <v>886</v>
      </c>
      <c r="R5" s="66">
        <v>246</v>
      </c>
      <c r="S5" s="66">
        <v>1274</v>
      </c>
      <c r="T5" s="87"/>
      <c r="U5" s="66">
        <v>27</v>
      </c>
      <c r="V5" s="66">
        <v>589</v>
      </c>
      <c r="W5" s="66">
        <v>180</v>
      </c>
      <c r="X5" s="88"/>
      <c r="Y5" s="66">
        <v>2155</v>
      </c>
      <c r="Z5" s="66">
        <v>486</v>
      </c>
      <c r="AA5" s="66">
        <v>5677</v>
      </c>
      <c r="AB5" s="66">
        <v>3212</v>
      </c>
      <c r="AC5" s="66">
        <v>80</v>
      </c>
      <c r="AD5" s="66">
        <v>8</v>
      </c>
      <c r="AE5" s="66">
        <v>240</v>
      </c>
      <c r="AF5" s="89">
        <v>0</v>
      </c>
      <c r="AG5" s="66">
        <v>0</v>
      </c>
      <c r="AH5" s="66">
        <v>0</v>
      </c>
      <c r="AI5" s="86">
        <v>180</v>
      </c>
      <c r="AJ5" s="66">
        <v>102</v>
      </c>
      <c r="AK5" s="66">
        <v>213</v>
      </c>
      <c r="AL5" s="66">
        <v>0</v>
      </c>
      <c r="AM5" s="86">
        <v>327</v>
      </c>
      <c r="AN5" s="86">
        <v>584</v>
      </c>
      <c r="AO5" s="86">
        <v>0</v>
      </c>
      <c r="AP5" s="86">
        <v>7</v>
      </c>
      <c r="AQ5" s="66">
        <v>183</v>
      </c>
      <c r="AR5" s="66">
        <v>0</v>
      </c>
      <c r="AS5" s="90">
        <v>474</v>
      </c>
      <c r="AT5" s="90"/>
      <c r="AU5" s="86">
        <v>0</v>
      </c>
      <c r="AV5" s="86">
        <v>0</v>
      </c>
      <c r="AW5" s="86">
        <v>9</v>
      </c>
      <c r="AX5" s="86">
        <v>270</v>
      </c>
      <c r="AY5" s="86">
        <v>0</v>
      </c>
      <c r="AZ5" s="66">
        <v>531</v>
      </c>
    </row>
    <row r="6" spans="1:53" x14ac:dyDescent="0.2">
      <c r="A6" s="25" t="s">
        <v>43</v>
      </c>
      <c r="B6" s="66">
        <v>130</v>
      </c>
      <c r="C6" s="66">
        <v>145</v>
      </c>
      <c r="D6" s="86"/>
      <c r="E6" s="66">
        <v>73</v>
      </c>
      <c r="F6" s="66">
        <v>285</v>
      </c>
      <c r="G6" s="86"/>
      <c r="H6" s="66">
        <v>301</v>
      </c>
      <c r="I6" s="66">
        <v>762</v>
      </c>
      <c r="J6" s="86"/>
      <c r="K6" s="66">
        <v>253</v>
      </c>
      <c r="L6" s="66">
        <v>10</v>
      </c>
      <c r="M6" s="66">
        <v>353</v>
      </c>
      <c r="N6" s="66">
        <v>85</v>
      </c>
      <c r="O6" s="66">
        <v>193</v>
      </c>
      <c r="P6" s="66">
        <v>111</v>
      </c>
      <c r="Q6" s="66">
        <v>687</v>
      </c>
      <c r="R6" s="66">
        <v>149</v>
      </c>
      <c r="S6" s="66">
        <v>803</v>
      </c>
      <c r="T6" s="87"/>
      <c r="U6" s="66">
        <v>19</v>
      </c>
      <c r="V6" s="66">
        <v>386</v>
      </c>
      <c r="W6" s="66">
        <v>135</v>
      </c>
      <c r="X6" s="88"/>
      <c r="Y6" s="66">
        <v>1259</v>
      </c>
      <c r="Z6" s="66">
        <v>331</v>
      </c>
      <c r="AA6" s="66">
        <v>3756</v>
      </c>
      <c r="AB6" s="66">
        <v>1412</v>
      </c>
      <c r="AC6" s="66">
        <v>43</v>
      </c>
      <c r="AD6" s="66">
        <v>1000</v>
      </c>
      <c r="AE6" s="66">
        <v>171</v>
      </c>
      <c r="AF6" s="89">
        <v>0</v>
      </c>
      <c r="AG6" s="66">
        <v>0</v>
      </c>
      <c r="AH6" s="66">
        <v>0</v>
      </c>
      <c r="AI6" s="86">
        <v>517</v>
      </c>
      <c r="AJ6" s="66">
        <v>108</v>
      </c>
      <c r="AK6" s="66">
        <v>154</v>
      </c>
      <c r="AL6" s="66">
        <v>0</v>
      </c>
      <c r="AM6" s="86">
        <v>3</v>
      </c>
      <c r="AN6" s="86">
        <v>387</v>
      </c>
      <c r="AO6" s="86">
        <v>0</v>
      </c>
      <c r="AP6" s="86">
        <v>14</v>
      </c>
      <c r="AQ6" s="66">
        <v>131</v>
      </c>
      <c r="AR6" s="66">
        <v>0</v>
      </c>
      <c r="AS6" s="90">
        <v>356</v>
      </c>
      <c r="AT6" s="90"/>
      <c r="AU6" s="86">
        <v>0</v>
      </c>
      <c r="AV6" s="86">
        <v>0</v>
      </c>
      <c r="AW6" s="86">
        <v>144</v>
      </c>
      <c r="AX6" s="86">
        <v>231</v>
      </c>
      <c r="AY6" s="86">
        <v>0</v>
      </c>
      <c r="AZ6" s="66">
        <v>388</v>
      </c>
    </row>
    <row r="7" spans="1:53" x14ac:dyDescent="0.2">
      <c r="A7" s="25" t="s">
        <v>44</v>
      </c>
      <c r="B7" s="66">
        <v>86</v>
      </c>
      <c r="C7" s="66">
        <v>36</v>
      </c>
      <c r="D7" s="86"/>
      <c r="E7" s="66">
        <v>58</v>
      </c>
      <c r="F7" s="66">
        <v>184</v>
      </c>
      <c r="G7" s="86"/>
      <c r="H7" s="66">
        <v>218</v>
      </c>
      <c r="I7" s="66">
        <v>641</v>
      </c>
      <c r="J7" s="86"/>
      <c r="K7" s="66">
        <v>171</v>
      </c>
      <c r="L7" s="66">
        <v>8</v>
      </c>
      <c r="M7" s="66">
        <v>140</v>
      </c>
      <c r="N7" s="66">
        <v>7</v>
      </c>
      <c r="O7" s="66">
        <v>119</v>
      </c>
      <c r="P7" s="66">
        <v>70</v>
      </c>
      <c r="Q7" s="66">
        <v>523</v>
      </c>
      <c r="R7" s="66">
        <v>116</v>
      </c>
      <c r="S7" s="66">
        <v>614</v>
      </c>
      <c r="T7" s="87"/>
      <c r="U7" s="66">
        <v>18</v>
      </c>
      <c r="V7" s="66">
        <v>237</v>
      </c>
      <c r="W7" s="66">
        <v>67</v>
      </c>
      <c r="X7" s="88"/>
      <c r="Y7" s="66">
        <v>1104</v>
      </c>
      <c r="Z7" s="66">
        <v>179</v>
      </c>
      <c r="AA7" s="66">
        <v>2586</v>
      </c>
      <c r="AB7" s="66">
        <v>1116</v>
      </c>
      <c r="AC7" s="66">
        <v>14</v>
      </c>
      <c r="AD7" s="66">
        <v>200</v>
      </c>
      <c r="AE7" s="66">
        <v>125</v>
      </c>
      <c r="AF7" s="89">
        <v>0</v>
      </c>
      <c r="AG7" s="66">
        <v>0</v>
      </c>
      <c r="AH7" s="66">
        <v>0</v>
      </c>
      <c r="AI7" s="86">
        <v>49</v>
      </c>
      <c r="AJ7" s="66">
        <v>71</v>
      </c>
      <c r="AK7" s="66">
        <v>73</v>
      </c>
      <c r="AL7" s="66">
        <v>0</v>
      </c>
      <c r="AM7" s="86">
        <v>19</v>
      </c>
      <c r="AN7" s="86">
        <v>125</v>
      </c>
      <c r="AO7" s="86">
        <v>0</v>
      </c>
      <c r="AP7" s="86">
        <v>14</v>
      </c>
      <c r="AQ7" s="66">
        <v>67</v>
      </c>
      <c r="AR7" s="66">
        <v>0</v>
      </c>
      <c r="AS7" s="90">
        <v>82</v>
      </c>
      <c r="AT7" s="90"/>
      <c r="AU7" s="86">
        <v>5</v>
      </c>
      <c r="AV7" s="86">
        <v>0</v>
      </c>
      <c r="AW7" s="86">
        <v>46</v>
      </c>
      <c r="AX7" s="86">
        <v>67</v>
      </c>
      <c r="AY7" s="86">
        <v>0</v>
      </c>
      <c r="AZ7" s="66">
        <v>217</v>
      </c>
    </row>
    <row r="8" spans="1:53" x14ac:dyDescent="0.2">
      <c r="A8" s="25" t="s">
        <v>45</v>
      </c>
      <c r="B8" s="66">
        <v>39</v>
      </c>
      <c r="C8" s="66">
        <v>12</v>
      </c>
      <c r="D8" s="86"/>
      <c r="E8" s="66">
        <v>17</v>
      </c>
      <c r="F8" s="66">
        <v>40</v>
      </c>
      <c r="G8" s="86"/>
      <c r="H8" s="66">
        <v>70</v>
      </c>
      <c r="I8" s="66">
        <v>256</v>
      </c>
      <c r="J8" s="86"/>
      <c r="K8" s="66">
        <v>54</v>
      </c>
      <c r="L8" s="66">
        <v>9</v>
      </c>
      <c r="M8" s="66">
        <v>33</v>
      </c>
      <c r="N8" s="66">
        <v>6</v>
      </c>
      <c r="O8" s="66">
        <v>33</v>
      </c>
      <c r="P8" s="66">
        <v>44</v>
      </c>
      <c r="Q8" s="66">
        <v>206</v>
      </c>
      <c r="R8" s="66">
        <v>19</v>
      </c>
      <c r="S8" s="66">
        <v>73</v>
      </c>
      <c r="T8" s="87"/>
      <c r="U8" s="66">
        <v>17</v>
      </c>
      <c r="V8" s="66">
        <v>24</v>
      </c>
      <c r="W8" s="66">
        <v>4</v>
      </c>
      <c r="X8" s="88"/>
      <c r="Y8" s="66">
        <v>50</v>
      </c>
      <c r="Z8" s="66">
        <v>14</v>
      </c>
      <c r="AA8" s="66">
        <v>716</v>
      </c>
      <c r="AB8" s="66">
        <v>345</v>
      </c>
      <c r="AC8" s="66">
        <v>5</v>
      </c>
      <c r="AD8" s="66">
        <v>45</v>
      </c>
      <c r="AE8" s="66">
        <v>72</v>
      </c>
      <c r="AF8" s="89">
        <v>0</v>
      </c>
      <c r="AG8" s="66">
        <v>0</v>
      </c>
      <c r="AH8" s="66">
        <v>0</v>
      </c>
      <c r="AI8" s="86">
        <v>5</v>
      </c>
      <c r="AJ8" s="66">
        <v>13</v>
      </c>
      <c r="AK8" s="66">
        <v>20</v>
      </c>
      <c r="AL8" s="66">
        <v>0</v>
      </c>
      <c r="AM8" s="86">
        <v>3</v>
      </c>
      <c r="AN8" s="86">
        <v>18</v>
      </c>
      <c r="AO8" s="86">
        <v>0</v>
      </c>
      <c r="AP8" s="86">
        <v>2</v>
      </c>
      <c r="AQ8" s="66">
        <v>22</v>
      </c>
      <c r="AR8" s="66">
        <v>0</v>
      </c>
      <c r="AS8" s="90">
        <v>1</v>
      </c>
      <c r="AT8" s="90"/>
      <c r="AU8" s="86">
        <v>0</v>
      </c>
      <c r="AV8" s="86">
        <v>0</v>
      </c>
      <c r="AW8" s="86">
        <v>1</v>
      </c>
      <c r="AX8" s="86">
        <v>10</v>
      </c>
      <c r="AY8" s="86">
        <v>0</v>
      </c>
      <c r="AZ8" s="66">
        <v>52</v>
      </c>
    </row>
    <row r="9" spans="1:53" x14ac:dyDescent="0.2">
      <c r="A9" s="25" t="s">
        <v>46</v>
      </c>
      <c r="B9" s="66">
        <v>7</v>
      </c>
      <c r="C9" s="66">
        <v>32</v>
      </c>
      <c r="D9" s="86"/>
      <c r="E9" s="66">
        <v>51</v>
      </c>
      <c r="F9" s="66">
        <v>3</v>
      </c>
      <c r="G9" s="86"/>
      <c r="H9" s="66">
        <v>34</v>
      </c>
      <c r="I9" s="66">
        <v>15</v>
      </c>
      <c r="J9" s="86"/>
      <c r="K9" s="66">
        <v>21</v>
      </c>
      <c r="L9" s="66">
        <v>6</v>
      </c>
      <c r="M9" s="66">
        <v>16</v>
      </c>
      <c r="N9" s="66">
        <v>8</v>
      </c>
      <c r="O9" s="66">
        <v>20</v>
      </c>
      <c r="P9" s="66">
        <v>56</v>
      </c>
      <c r="Q9" s="66">
        <v>78</v>
      </c>
      <c r="R9" s="66">
        <v>25</v>
      </c>
      <c r="S9" s="66">
        <v>50</v>
      </c>
      <c r="T9" s="87"/>
      <c r="U9" s="66">
        <v>16</v>
      </c>
      <c r="V9" s="66">
        <v>12</v>
      </c>
      <c r="W9" s="66">
        <v>3</v>
      </c>
      <c r="X9" s="88"/>
      <c r="Y9" s="66">
        <v>87</v>
      </c>
      <c r="Z9" s="66">
        <v>3</v>
      </c>
      <c r="AA9" s="66">
        <v>620</v>
      </c>
      <c r="AB9" s="66">
        <v>357</v>
      </c>
      <c r="AC9" s="66">
        <v>15</v>
      </c>
      <c r="AD9" s="66">
        <v>42</v>
      </c>
      <c r="AE9" s="66">
        <v>16</v>
      </c>
      <c r="AF9" s="89">
        <v>0</v>
      </c>
      <c r="AG9" s="66">
        <v>0</v>
      </c>
      <c r="AH9" s="66">
        <v>0</v>
      </c>
      <c r="AI9" s="86">
        <v>2</v>
      </c>
      <c r="AJ9" s="66">
        <v>1</v>
      </c>
      <c r="AK9" s="66">
        <v>0</v>
      </c>
      <c r="AL9" s="66">
        <v>0</v>
      </c>
      <c r="AM9" s="86">
        <v>67</v>
      </c>
      <c r="AN9" s="86">
        <v>0</v>
      </c>
      <c r="AO9" s="86">
        <v>0</v>
      </c>
      <c r="AP9" s="86">
        <v>3</v>
      </c>
      <c r="AQ9" s="66">
        <v>3</v>
      </c>
      <c r="AR9" s="66">
        <v>0</v>
      </c>
      <c r="AS9" s="90">
        <v>29</v>
      </c>
      <c r="AT9" s="90"/>
      <c r="AU9" s="86">
        <v>0</v>
      </c>
      <c r="AV9" s="86">
        <v>0</v>
      </c>
      <c r="AW9" s="86">
        <v>0</v>
      </c>
      <c r="AX9" s="86">
        <v>1</v>
      </c>
      <c r="AY9" s="86">
        <v>0</v>
      </c>
      <c r="AZ9" s="66">
        <v>6</v>
      </c>
    </row>
    <row r="10" spans="1:53" x14ac:dyDescent="0.2">
      <c r="A10" s="25" t="s">
        <v>47</v>
      </c>
      <c r="B10" s="66">
        <v>17</v>
      </c>
      <c r="C10" s="66">
        <v>8</v>
      </c>
      <c r="D10" s="86"/>
      <c r="E10" s="66">
        <v>34</v>
      </c>
      <c r="F10" s="66">
        <v>2</v>
      </c>
      <c r="G10" s="86"/>
      <c r="H10" s="66">
        <v>7</v>
      </c>
      <c r="I10" s="66">
        <v>13</v>
      </c>
      <c r="J10" s="86"/>
      <c r="K10" s="66">
        <v>0</v>
      </c>
      <c r="L10" s="66">
        <v>5</v>
      </c>
      <c r="M10" s="66">
        <v>10</v>
      </c>
      <c r="N10" s="66">
        <v>5</v>
      </c>
      <c r="O10" s="66">
        <v>17</v>
      </c>
      <c r="P10" s="66">
        <v>20</v>
      </c>
      <c r="Q10" s="66">
        <v>5</v>
      </c>
      <c r="R10" s="66">
        <v>3</v>
      </c>
      <c r="S10" s="66">
        <v>0</v>
      </c>
      <c r="T10" s="87"/>
      <c r="U10" s="66">
        <v>9</v>
      </c>
      <c r="V10" s="66">
        <v>6</v>
      </c>
      <c r="W10" s="66">
        <v>2</v>
      </c>
      <c r="X10" s="88"/>
      <c r="Y10" s="66">
        <v>27</v>
      </c>
      <c r="Z10" s="66">
        <v>0</v>
      </c>
      <c r="AA10" s="66">
        <v>187</v>
      </c>
      <c r="AB10" s="66">
        <v>143</v>
      </c>
      <c r="AC10" s="66">
        <v>7</v>
      </c>
      <c r="AD10" s="66">
        <v>0</v>
      </c>
      <c r="AE10" s="66">
        <v>15</v>
      </c>
      <c r="AF10" s="89">
        <v>0</v>
      </c>
      <c r="AG10" s="66">
        <v>0</v>
      </c>
      <c r="AH10" s="66">
        <v>0</v>
      </c>
      <c r="AI10" s="86">
        <v>2</v>
      </c>
      <c r="AJ10" s="66">
        <v>4</v>
      </c>
      <c r="AK10" s="66">
        <v>0</v>
      </c>
      <c r="AL10" s="66">
        <v>193</v>
      </c>
      <c r="AM10" s="86">
        <v>13</v>
      </c>
      <c r="AN10" s="86">
        <v>8</v>
      </c>
      <c r="AO10" s="86">
        <v>27</v>
      </c>
      <c r="AP10" s="86">
        <v>8</v>
      </c>
      <c r="AQ10" s="66">
        <v>1</v>
      </c>
      <c r="AR10" s="66">
        <v>2</v>
      </c>
      <c r="AS10" s="90">
        <v>2</v>
      </c>
      <c r="AT10" s="90"/>
      <c r="AU10" s="86">
        <v>0</v>
      </c>
      <c r="AV10" s="86">
        <v>0</v>
      </c>
      <c r="AW10" s="86">
        <v>1</v>
      </c>
      <c r="AX10" s="86">
        <v>1</v>
      </c>
      <c r="AY10" s="86">
        <v>4</v>
      </c>
      <c r="AZ10" s="66">
        <v>0</v>
      </c>
    </row>
    <row r="11" spans="1:53" ht="15" x14ac:dyDescent="0.2">
      <c r="A11" s="25" t="s">
        <v>48</v>
      </c>
      <c r="B11" s="66">
        <v>7</v>
      </c>
      <c r="C11" s="66">
        <v>15</v>
      </c>
      <c r="D11" s="86"/>
      <c r="E11" s="66">
        <v>17</v>
      </c>
      <c r="F11" s="66">
        <v>0</v>
      </c>
      <c r="G11" s="86"/>
      <c r="H11" s="66">
        <v>8</v>
      </c>
      <c r="I11" s="66">
        <v>13</v>
      </c>
      <c r="J11" s="86"/>
      <c r="K11" s="66">
        <v>0</v>
      </c>
      <c r="L11" s="66">
        <v>5</v>
      </c>
      <c r="M11" s="66">
        <v>10</v>
      </c>
      <c r="N11" s="66">
        <v>8</v>
      </c>
      <c r="O11" s="66">
        <v>21</v>
      </c>
      <c r="P11" s="66">
        <v>22</v>
      </c>
      <c r="Q11" s="66">
        <v>2</v>
      </c>
      <c r="R11" s="66">
        <v>4</v>
      </c>
      <c r="S11" s="66">
        <v>5</v>
      </c>
      <c r="T11" s="87"/>
      <c r="U11" s="66">
        <v>12</v>
      </c>
      <c r="V11" s="66">
        <v>7</v>
      </c>
      <c r="W11" s="66">
        <v>3</v>
      </c>
      <c r="X11" s="88"/>
      <c r="Y11" s="66">
        <v>36</v>
      </c>
      <c r="Z11" s="66">
        <v>0</v>
      </c>
      <c r="AA11" s="66">
        <v>233</v>
      </c>
      <c r="AB11" s="66">
        <v>188</v>
      </c>
      <c r="AC11" s="66">
        <v>147</v>
      </c>
      <c r="AD11" s="66">
        <v>15</v>
      </c>
      <c r="AE11" s="66">
        <v>39</v>
      </c>
      <c r="AF11" s="89">
        <v>60</v>
      </c>
      <c r="AG11" s="66">
        <v>0</v>
      </c>
      <c r="AH11" s="66">
        <v>3</v>
      </c>
      <c r="AI11" s="91">
        <v>132</v>
      </c>
      <c r="AJ11" s="66">
        <v>336</v>
      </c>
      <c r="AK11" s="66">
        <v>0</v>
      </c>
      <c r="AL11" s="66">
        <v>765</v>
      </c>
      <c r="AM11" s="86">
        <v>2442</v>
      </c>
      <c r="AN11" s="86">
        <v>1017</v>
      </c>
      <c r="AO11" s="86">
        <v>103</v>
      </c>
      <c r="AP11" s="86">
        <v>461</v>
      </c>
      <c r="AQ11" s="66">
        <v>180</v>
      </c>
      <c r="AR11" s="66">
        <v>60</v>
      </c>
      <c r="AS11" s="90">
        <v>323</v>
      </c>
      <c r="AT11" s="90">
        <v>38</v>
      </c>
      <c r="AU11" s="86">
        <v>484</v>
      </c>
      <c r="AV11" s="86">
        <v>0</v>
      </c>
      <c r="AW11" s="86">
        <v>0</v>
      </c>
      <c r="AX11" s="86">
        <v>0</v>
      </c>
      <c r="AY11" s="86">
        <v>334</v>
      </c>
      <c r="AZ11" s="66">
        <v>0</v>
      </c>
    </row>
    <row r="12" spans="1:53" ht="15" x14ac:dyDescent="0.2">
      <c r="A12" s="25" t="s">
        <v>49</v>
      </c>
      <c r="B12" s="66">
        <v>8</v>
      </c>
      <c r="C12" s="66">
        <v>14</v>
      </c>
      <c r="D12" s="86"/>
      <c r="E12" s="66">
        <v>27</v>
      </c>
      <c r="F12" s="66">
        <v>0</v>
      </c>
      <c r="G12" s="86"/>
      <c r="H12" s="66">
        <v>7</v>
      </c>
      <c r="I12" s="66">
        <v>14</v>
      </c>
      <c r="J12" s="86"/>
      <c r="K12" s="66">
        <v>0</v>
      </c>
      <c r="L12" s="66">
        <v>8</v>
      </c>
      <c r="M12" s="66">
        <v>12</v>
      </c>
      <c r="N12" s="66">
        <v>6</v>
      </c>
      <c r="O12" s="66">
        <v>18</v>
      </c>
      <c r="P12" s="66">
        <v>22</v>
      </c>
      <c r="Q12" s="66">
        <v>1</v>
      </c>
      <c r="R12" s="66">
        <v>4</v>
      </c>
      <c r="S12" s="66">
        <v>34</v>
      </c>
      <c r="T12" s="87"/>
      <c r="U12" s="66">
        <v>11</v>
      </c>
      <c r="V12" s="66">
        <v>6</v>
      </c>
      <c r="W12" s="66">
        <v>3</v>
      </c>
      <c r="X12" s="88"/>
      <c r="Y12" s="66">
        <v>11</v>
      </c>
      <c r="Z12" s="66">
        <v>1</v>
      </c>
      <c r="AA12" s="66">
        <v>200</v>
      </c>
      <c r="AB12" s="66">
        <v>198</v>
      </c>
      <c r="AC12" s="66">
        <v>1057</v>
      </c>
      <c r="AD12" s="66">
        <v>6658</v>
      </c>
      <c r="AE12" s="66">
        <v>49</v>
      </c>
      <c r="AF12" s="89">
        <v>9475</v>
      </c>
      <c r="AG12" s="66">
        <v>0</v>
      </c>
      <c r="AH12" s="66">
        <v>6810</v>
      </c>
      <c r="AI12" s="91">
        <v>12389</v>
      </c>
      <c r="AJ12" s="66">
        <v>3293</v>
      </c>
      <c r="AK12" s="66">
        <v>0</v>
      </c>
      <c r="AL12" s="66">
        <v>12758</v>
      </c>
      <c r="AM12" s="86">
        <v>28295</v>
      </c>
      <c r="AN12" s="86">
        <v>15629</v>
      </c>
      <c r="AO12" s="86">
        <v>15890</v>
      </c>
      <c r="AP12" s="91">
        <v>13035</v>
      </c>
      <c r="AQ12" s="66">
        <v>7863</v>
      </c>
      <c r="AR12" s="66">
        <v>7976</v>
      </c>
      <c r="AS12" s="87">
        <v>3821</v>
      </c>
      <c r="AT12" s="87">
        <v>9536</v>
      </c>
      <c r="AU12" s="86">
        <v>546</v>
      </c>
      <c r="AV12" s="86">
        <v>0</v>
      </c>
      <c r="AW12" s="86">
        <v>8</v>
      </c>
      <c r="AX12" s="86">
        <v>1</v>
      </c>
      <c r="AY12" s="91">
        <v>2392</v>
      </c>
      <c r="AZ12" s="66">
        <v>0</v>
      </c>
    </row>
    <row r="13" spans="1:53" ht="15" x14ac:dyDescent="0.2">
      <c r="A13" s="25" t="s">
        <v>50</v>
      </c>
      <c r="B13" s="66">
        <v>7</v>
      </c>
      <c r="C13" s="66">
        <v>19</v>
      </c>
      <c r="D13" s="86"/>
      <c r="E13" s="66">
        <v>32</v>
      </c>
      <c r="F13" s="66">
        <v>0</v>
      </c>
      <c r="G13" s="86"/>
      <c r="H13" s="66">
        <v>5</v>
      </c>
      <c r="I13" s="66">
        <v>12</v>
      </c>
      <c r="J13" s="86"/>
      <c r="K13" s="66">
        <v>0</v>
      </c>
      <c r="L13" s="66">
        <v>7</v>
      </c>
      <c r="M13" s="66">
        <v>10</v>
      </c>
      <c r="N13" s="66">
        <v>7</v>
      </c>
      <c r="O13" s="66">
        <v>21</v>
      </c>
      <c r="P13" s="66">
        <v>26</v>
      </c>
      <c r="Q13" s="66">
        <v>23</v>
      </c>
      <c r="R13" s="66">
        <v>5</v>
      </c>
      <c r="S13" s="66">
        <v>272</v>
      </c>
      <c r="T13" s="87"/>
      <c r="U13" s="66">
        <v>14</v>
      </c>
      <c r="V13" s="66">
        <v>7</v>
      </c>
      <c r="W13" s="66">
        <v>2</v>
      </c>
      <c r="X13" s="88"/>
      <c r="Y13" s="66">
        <v>1</v>
      </c>
      <c r="Z13" s="66">
        <v>1</v>
      </c>
      <c r="AA13" s="66">
        <v>394</v>
      </c>
      <c r="AB13" s="66">
        <v>219</v>
      </c>
      <c r="AC13" s="66">
        <v>386</v>
      </c>
      <c r="AD13" s="66">
        <v>61994</v>
      </c>
      <c r="AE13" s="66">
        <v>54</v>
      </c>
      <c r="AF13" s="89">
        <v>7808</v>
      </c>
      <c r="AG13" s="66">
        <v>0</v>
      </c>
      <c r="AH13" s="66">
        <v>7890</v>
      </c>
      <c r="AI13" s="91">
        <v>6500</v>
      </c>
      <c r="AJ13" s="66">
        <v>1951</v>
      </c>
      <c r="AK13" s="66">
        <v>0</v>
      </c>
      <c r="AL13" s="66">
        <v>5797</v>
      </c>
      <c r="AM13" s="86">
        <v>29132</v>
      </c>
      <c r="AN13" s="91">
        <v>11416</v>
      </c>
      <c r="AO13" s="91">
        <v>23186</v>
      </c>
      <c r="AP13" s="91">
        <v>17509</v>
      </c>
      <c r="AQ13" s="66">
        <v>7124</v>
      </c>
      <c r="AR13" s="66">
        <v>9410</v>
      </c>
      <c r="AS13" s="87">
        <v>2904</v>
      </c>
      <c r="AT13" s="87">
        <v>15024</v>
      </c>
      <c r="AU13" s="86">
        <v>172</v>
      </c>
      <c r="AV13" s="86">
        <v>0</v>
      </c>
      <c r="AW13" s="86">
        <v>21</v>
      </c>
      <c r="AX13" s="86">
        <v>0</v>
      </c>
      <c r="AY13" s="91">
        <v>3112</v>
      </c>
      <c r="AZ13" s="66">
        <v>18</v>
      </c>
    </row>
    <row r="14" spans="1:53" ht="15" x14ac:dyDescent="0.2">
      <c r="A14" s="25" t="s">
        <v>51</v>
      </c>
      <c r="B14" s="66"/>
      <c r="C14" s="66">
        <v>9</v>
      </c>
      <c r="D14" s="86"/>
      <c r="E14" s="66">
        <v>35</v>
      </c>
      <c r="F14" s="66">
        <v>159</v>
      </c>
      <c r="G14" s="86"/>
      <c r="H14" s="66">
        <v>15</v>
      </c>
      <c r="I14" s="66">
        <v>49</v>
      </c>
      <c r="J14" s="86"/>
      <c r="K14" s="66">
        <v>113</v>
      </c>
      <c r="L14" s="66">
        <v>9</v>
      </c>
      <c r="M14" s="66">
        <v>102</v>
      </c>
      <c r="N14" s="66">
        <v>8</v>
      </c>
      <c r="O14" s="66">
        <v>182</v>
      </c>
      <c r="P14" s="66">
        <v>83</v>
      </c>
      <c r="Q14" s="66">
        <v>268</v>
      </c>
      <c r="R14" s="66">
        <v>75</v>
      </c>
      <c r="S14" s="66">
        <v>571</v>
      </c>
      <c r="T14" s="87"/>
      <c r="U14" s="66">
        <v>16</v>
      </c>
      <c r="V14" s="66">
        <v>192</v>
      </c>
      <c r="W14" s="66">
        <v>5</v>
      </c>
      <c r="X14" s="88"/>
      <c r="Y14" s="66">
        <v>992</v>
      </c>
      <c r="Z14" s="66">
        <v>164</v>
      </c>
      <c r="AA14" s="66">
        <v>2376</v>
      </c>
      <c r="AB14" s="66">
        <v>2098</v>
      </c>
      <c r="AC14" s="66">
        <v>1</v>
      </c>
      <c r="AD14" s="66">
        <v>320</v>
      </c>
      <c r="AE14" s="66">
        <v>174</v>
      </c>
      <c r="AF14" s="89">
        <v>2</v>
      </c>
      <c r="AG14" s="66">
        <v>40</v>
      </c>
      <c r="AH14" s="66">
        <v>9233</v>
      </c>
      <c r="AI14" s="91">
        <v>196</v>
      </c>
      <c r="AJ14" s="66">
        <v>501</v>
      </c>
      <c r="AK14" s="66">
        <v>0</v>
      </c>
      <c r="AL14" s="91">
        <v>997</v>
      </c>
      <c r="AM14" s="86">
        <v>21064</v>
      </c>
      <c r="AN14" s="91">
        <v>7379</v>
      </c>
      <c r="AO14" s="91">
        <v>6829</v>
      </c>
      <c r="AP14" s="91">
        <v>15592</v>
      </c>
      <c r="AQ14" s="91">
        <v>0</v>
      </c>
      <c r="AR14" s="66">
        <v>9331</v>
      </c>
      <c r="AS14" s="87">
        <v>39</v>
      </c>
      <c r="AT14" s="87">
        <v>25543</v>
      </c>
      <c r="AU14" s="91">
        <v>10353</v>
      </c>
      <c r="AV14" s="87">
        <v>0</v>
      </c>
      <c r="AW14" s="88">
        <v>6</v>
      </c>
      <c r="AX14" s="86">
        <v>33</v>
      </c>
      <c r="AY14" s="91">
        <v>5081</v>
      </c>
      <c r="AZ14" s="87">
        <v>129</v>
      </c>
    </row>
    <row r="15" spans="1:53" ht="15" x14ac:dyDescent="0.2">
      <c r="A15" s="25" t="s">
        <v>52</v>
      </c>
      <c r="B15" s="66"/>
      <c r="C15" s="66">
        <v>125</v>
      </c>
      <c r="D15" s="86"/>
      <c r="E15" s="66">
        <v>71</v>
      </c>
      <c r="F15" s="66">
        <v>435</v>
      </c>
      <c r="G15" s="86"/>
      <c r="H15" s="66">
        <v>371</v>
      </c>
      <c r="I15" s="66">
        <v>324</v>
      </c>
      <c r="J15" s="86"/>
      <c r="K15" s="66">
        <v>232</v>
      </c>
      <c r="L15" s="66">
        <v>9</v>
      </c>
      <c r="M15" s="66">
        <v>334</v>
      </c>
      <c r="N15" s="66">
        <v>54</v>
      </c>
      <c r="O15" s="66">
        <v>344</v>
      </c>
      <c r="P15" s="66">
        <v>146</v>
      </c>
      <c r="Q15" s="66">
        <v>473</v>
      </c>
      <c r="R15" s="66">
        <v>240</v>
      </c>
      <c r="S15" s="66">
        <v>1278</v>
      </c>
      <c r="T15" s="87"/>
      <c r="U15" s="66">
        <v>15</v>
      </c>
      <c r="V15" s="66">
        <v>369</v>
      </c>
      <c r="W15" s="66">
        <v>6</v>
      </c>
      <c r="X15" s="88"/>
      <c r="Y15" s="66">
        <v>1793</v>
      </c>
      <c r="Z15" s="66">
        <v>346</v>
      </c>
      <c r="AA15" s="66">
        <v>4694</v>
      </c>
      <c r="AB15" s="66">
        <v>2726</v>
      </c>
      <c r="AC15" s="66">
        <v>4</v>
      </c>
      <c r="AD15" s="91">
        <v>0</v>
      </c>
      <c r="AE15" s="66">
        <v>224</v>
      </c>
      <c r="AF15" s="89">
        <v>11881</v>
      </c>
      <c r="AG15" s="66">
        <v>46</v>
      </c>
      <c r="AH15" s="66">
        <v>2705</v>
      </c>
      <c r="AI15" s="91">
        <v>0</v>
      </c>
      <c r="AJ15" s="66">
        <v>195</v>
      </c>
      <c r="AK15" s="66">
        <v>0</v>
      </c>
      <c r="AL15" s="91">
        <v>0</v>
      </c>
      <c r="AM15" s="86">
        <v>2217</v>
      </c>
      <c r="AN15" s="91">
        <v>3652</v>
      </c>
      <c r="AO15" s="91">
        <v>68</v>
      </c>
      <c r="AP15" s="91">
        <v>922</v>
      </c>
      <c r="AQ15" s="91">
        <v>0</v>
      </c>
      <c r="AR15" s="66">
        <v>1045</v>
      </c>
      <c r="AS15" s="87">
        <v>182</v>
      </c>
      <c r="AT15" s="87">
        <v>1981</v>
      </c>
      <c r="AU15" s="91">
        <v>974</v>
      </c>
      <c r="AV15" s="87">
        <v>0</v>
      </c>
      <c r="AW15" s="88">
        <v>1</v>
      </c>
      <c r="AX15" s="88">
        <v>229</v>
      </c>
      <c r="AY15" s="91">
        <v>636</v>
      </c>
      <c r="AZ15" s="87">
        <v>345</v>
      </c>
    </row>
    <row r="16" spans="1:53" s="98" customFormat="1" ht="13.5" thickBot="1" x14ac:dyDescent="0.25">
      <c r="A16" s="92" t="s">
        <v>58</v>
      </c>
      <c r="B16" s="93">
        <f>SUM(B4:B15)/10</f>
        <v>64.900000000000006</v>
      </c>
      <c r="C16" s="93">
        <f>SUM(B19:B30)/10</f>
        <v>68.073999999999998</v>
      </c>
      <c r="D16" s="93"/>
      <c r="E16" s="94">
        <f>SUM(E4:E15)/10</f>
        <v>58.9</v>
      </c>
      <c r="F16" s="94">
        <f>SUM(E19:E30)/10</f>
        <v>69.861000000000018</v>
      </c>
      <c r="G16" s="95">
        <f>SUM(G4:G15)/10</f>
        <v>0</v>
      </c>
      <c r="H16" s="94">
        <f>SUM(H4:H15)/10</f>
        <v>182.6</v>
      </c>
      <c r="I16" s="94">
        <f>SUM(H19:H30)/10</f>
        <v>158.15400000000002</v>
      </c>
      <c r="J16" s="94"/>
      <c r="K16" s="94">
        <f t="shared" ref="K16:S16" si="0">SUM(K4:K15)/10</f>
        <v>151.19999999999999</v>
      </c>
      <c r="L16" s="94">
        <f t="shared" si="0"/>
        <v>9.3000000000000007</v>
      </c>
      <c r="M16" s="94">
        <f t="shared" si="0"/>
        <v>197.6</v>
      </c>
      <c r="N16" s="94">
        <f t="shared" si="0"/>
        <v>43.6</v>
      </c>
      <c r="O16" s="94">
        <f t="shared" si="0"/>
        <v>155.80000000000001</v>
      </c>
      <c r="P16" s="94">
        <f t="shared" si="0"/>
        <v>94.4</v>
      </c>
      <c r="Q16" s="94">
        <f t="shared" si="0"/>
        <v>394.4</v>
      </c>
      <c r="R16" s="94">
        <f t="shared" si="0"/>
        <v>117.2</v>
      </c>
      <c r="S16" s="94">
        <f t="shared" si="0"/>
        <v>636.29999999999995</v>
      </c>
      <c r="T16" s="94"/>
      <c r="U16" s="94">
        <f t="shared" ref="U16:AL16" si="1">SUM(U4:U15)/10</f>
        <v>19.3</v>
      </c>
      <c r="V16" s="94">
        <f t="shared" si="1"/>
        <v>229.3</v>
      </c>
      <c r="W16" s="94">
        <f t="shared" si="1"/>
        <v>58.4</v>
      </c>
      <c r="X16" s="94">
        <f t="shared" si="1"/>
        <v>0</v>
      </c>
      <c r="Y16" s="94">
        <f t="shared" si="1"/>
        <v>977.8</v>
      </c>
      <c r="Z16" s="94">
        <f t="shared" si="1"/>
        <v>194.6</v>
      </c>
      <c r="AA16" s="94">
        <f t="shared" si="1"/>
        <v>2740.3</v>
      </c>
      <c r="AB16" s="94">
        <f t="shared" si="1"/>
        <v>1450.1</v>
      </c>
      <c r="AC16" s="94">
        <f t="shared" si="1"/>
        <v>182</v>
      </c>
      <c r="AD16" s="94">
        <f>SUM(AD4:AD15)/10</f>
        <v>7129</v>
      </c>
      <c r="AE16" s="94"/>
      <c r="AF16" s="94">
        <f>SUM(AF4:AF15)/10</f>
        <v>2922.6</v>
      </c>
      <c r="AG16" s="94">
        <f t="shared" si="1"/>
        <v>9.1</v>
      </c>
      <c r="AH16" s="94">
        <f>SUM(AH4:AH15)/10</f>
        <v>2672.4</v>
      </c>
      <c r="AI16" s="94">
        <f>SUM(AI4:AI15)/10</f>
        <v>2011.7</v>
      </c>
      <c r="AJ16" s="94">
        <f>SUM(AJ4:AJ15)/10</f>
        <v>657.5</v>
      </c>
      <c r="AK16" s="94"/>
      <c r="AL16" s="94">
        <f t="shared" si="1"/>
        <v>2074.6999999999998</v>
      </c>
      <c r="AM16" s="94">
        <f t="shared" ref="AM16:AV16" si="2">SUM(AM4:AM15)/10</f>
        <v>8403.5</v>
      </c>
      <c r="AN16" s="94">
        <f t="shared" si="2"/>
        <v>4066.8</v>
      </c>
      <c r="AO16" s="94">
        <f t="shared" si="2"/>
        <v>4636.8999999999996</v>
      </c>
      <c r="AP16" s="94">
        <f t="shared" si="2"/>
        <v>4757.2</v>
      </c>
      <c r="AQ16" s="94">
        <f t="shared" si="2"/>
        <v>1574.3</v>
      </c>
      <c r="AR16" s="94">
        <f t="shared" si="2"/>
        <v>2782.4</v>
      </c>
      <c r="AS16" s="96">
        <f t="shared" si="2"/>
        <v>861.7</v>
      </c>
      <c r="AT16" s="96">
        <f>SUM(AT11:AT15)/10</f>
        <v>5212.2</v>
      </c>
      <c r="AU16" s="94">
        <f t="shared" si="2"/>
        <v>1253.4000000000001</v>
      </c>
      <c r="AV16" s="94">
        <f t="shared" si="2"/>
        <v>0</v>
      </c>
      <c r="AW16" s="94">
        <f>SUM(AW4:AW15)/10</f>
        <v>24.6</v>
      </c>
      <c r="AX16" s="94">
        <f>SUM(AX4:AX15)/10</f>
        <v>109.3</v>
      </c>
      <c r="AY16" s="94">
        <f>SUM(AY4:AY15)/10</f>
        <v>1306.7</v>
      </c>
      <c r="AZ16" s="94">
        <f>SUM(AZ4:AZ15)/10</f>
        <v>218.9</v>
      </c>
      <c r="BA16" s="97">
        <f>SUM(U16:AZ16)</f>
        <v>58536.700000000004</v>
      </c>
    </row>
    <row r="17" spans="1:53" ht="13.5" thickTop="1" x14ac:dyDescent="0.2">
      <c r="B17" s="28"/>
      <c r="C17" s="29"/>
      <c r="D17" s="29"/>
      <c r="E17" s="25"/>
      <c r="AM17" s="3"/>
      <c r="AS17" s="6"/>
      <c r="AT17" s="6"/>
      <c r="AU17" s="30"/>
    </row>
    <row r="18" spans="1:53" x14ac:dyDescent="0.2">
      <c r="A18" s="26">
        <v>2011</v>
      </c>
      <c r="B18" s="31" t="s">
        <v>53</v>
      </c>
      <c r="C18" s="31" t="s">
        <v>53</v>
      </c>
      <c r="D18" s="31" t="s">
        <v>53</v>
      </c>
      <c r="E18" s="31" t="s">
        <v>53</v>
      </c>
      <c r="F18" s="31" t="s">
        <v>53</v>
      </c>
      <c r="G18" s="31" t="s">
        <v>53</v>
      </c>
      <c r="H18" s="31" t="s">
        <v>53</v>
      </c>
      <c r="I18" s="31" t="s">
        <v>53</v>
      </c>
      <c r="J18" s="31" t="s">
        <v>53</v>
      </c>
      <c r="K18" s="31" t="s">
        <v>53</v>
      </c>
      <c r="L18" s="31" t="s">
        <v>53</v>
      </c>
      <c r="M18" s="31" t="s">
        <v>53</v>
      </c>
      <c r="N18" s="31" t="s">
        <v>53</v>
      </c>
      <c r="O18" s="31" t="s">
        <v>53</v>
      </c>
      <c r="P18" s="31" t="s">
        <v>53</v>
      </c>
      <c r="Q18" s="31" t="s">
        <v>53</v>
      </c>
      <c r="R18" s="31" t="s">
        <v>53</v>
      </c>
      <c r="S18" s="31" t="s">
        <v>53</v>
      </c>
      <c r="T18" s="31" t="s">
        <v>53</v>
      </c>
      <c r="U18" s="31" t="s">
        <v>53</v>
      </c>
      <c r="V18" s="31" t="s">
        <v>53</v>
      </c>
      <c r="W18" s="31" t="s">
        <v>53</v>
      </c>
      <c r="X18" s="31" t="s">
        <v>53</v>
      </c>
      <c r="Y18" s="31" t="s">
        <v>53</v>
      </c>
      <c r="Z18" s="31" t="s">
        <v>53</v>
      </c>
      <c r="AA18" s="31" t="s">
        <v>53</v>
      </c>
      <c r="AB18" s="31" t="s">
        <v>53</v>
      </c>
      <c r="AC18" s="31" t="s">
        <v>53</v>
      </c>
      <c r="AD18" s="31" t="s">
        <v>53</v>
      </c>
      <c r="AE18" s="31" t="s">
        <v>53</v>
      </c>
      <c r="AF18" s="31" t="s">
        <v>53</v>
      </c>
      <c r="AG18" s="31" t="s">
        <v>53</v>
      </c>
      <c r="AH18" s="31" t="s">
        <v>53</v>
      </c>
      <c r="AI18" s="31" t="s">
        <v>53</v>
      </c>
      <c r="AJ18" s="31" t="s">
        <v>53</v>
      </c>
      <c r="AK18" s="31" t="s">
        <v>53</v>
      </c>
      <c r="AL18" s="31" t="s">
        <v>53</v>
      </c>
      <c r="AM18" s="69" t="s">
        <v>53</v>
      </c>
      <c r="AN18" s="31" t="s">
        <v>53</v>
      </c>
      <c r="AO18" s="31" t="s">
        <v>53</v>
      </c>
      <c r="AP18" s="31" t="s">
        <v>53</v>
      </c>
      <c r="AQ18" s="31" t="s">
        <v>53</v>
      </c>
      <c r="AR18" s="31" t="s">
        <v>53</v>
      </c>
      <c r="AS18" s="31" t="s">
        <v>53</v>
      </c>
      <c r="AT18" s="31"/>
      <c r="AU18" s="31" t="s">
        <v>53</v>
      </c>
      <c r="AV18" s="31" t="s">
        <v>53</v>
      </c>
      <c r="AW18" s="31" t="s">
        <v>53</v>
      </c>
      <c r="AX18" s="31" t="s">
        <v>53</v>
      </c>
      <c r="AY18" s="31" t="s">
        <v>53</v>
      </c>
      <c r="AZ18" s="31" t="s">
        <v>53</v>
      </c>
      <c r="BA18" s="31"/>
    </row>
    <row r="19" spans="1:53" s="112" customFormat="1" x14ac:dyDescent="0.2">
      <c r="A19" s="106" t="s">
        <v>59</v>
      </c>
      <c r="B19" s="107">
        <v>142.05000000000001</v>
      </c>
      <c r="C19" s="107">
        <v>24.81</v>
      </c>
      <c r="D19" s="108"/>
      <c r="E19" s="107">
        <v>81.06</v>
      </c>
      <c r="F19" s="107">
        <v>284.5</v>
      </c>
      <c r="G19" s="107"/>
      <c r="H19" s="107">
        <v>331.68</v>
      </c>
      <c r="I19" s="107">
        <v>510.31</v>
      </c>
      <c r="J19" s="109"/>
      <c r="K19" s="107">
        <v>268.86</v>
      </c>
      <c r="L19" s="107">
        <v>20.07</v>
      </c>
      <c r="M19" s="107">
        <v>392.83</v>
      </c>
      <c r="N19" s="107">
        <v>95</v>
      </c>
      <c r="O19" s="107">
        <v>244.27</v>
      </c>
      <c r="P19" s="107">
        <v>153.71</v>
      </c>
      <c r="Q19" s="107">
        <v>638.44000000000005</v>
      </c>
      <c r="R19" s="107">
        <v>239.52</v>
      </c>
      <c r="S19" s="107">
        <v>1109.9000000000001</v>
      </c>
      <c r="T19" s="108"/>
      <c r="U19" s="107">
        <v>29.98</v>
      </c>
      <c r="V19" s="107">
        <v>387</v>
      </c>
      <c r="W19" s="107">
        <v>149.22999999999999</v>
      </c>
      <c r="X19" s="107">
        <v>-448.83</v>
      </c>
      <c r="Y19" s="107">
        <v>1772.55</v>
      </c>
      <c r="Z19" s="107">
        <v>346.14</v>
      </c>
      <c r="AA19" s="107">
        <v>4558.3500000000004</v>
      </c>
      <c r="AB19" s="107">
        <v>1947.17</v>
      </c>
      <c r="AC19" s="107">
        <v>51.63</v>
      </c>
      <c r="AD19" s="107">
        <v>848.45</v>
      </c>
      <c r="AE19" s="107">
        <v>226.44</v>
      </c>
      <c r="AF19" s="108">
        <v>0</v>
      </c>
      <c r="AG19" s="108">
        <v>4.3600000000000003</v>
      </c>
      <c r="AH19" s="107">
        <v>69.63</v>
      </c>
      <c r="AI19" s="107">
        <v>127.23</v>
      </c>
      <c r="AJ19" s="107">
        <v>0</v>
      </c>
      <c r="AK19" s="107">
        <v>177.68</v>
      </c>
      <c r="AL19" s="107">
        <v>198.89</v>
      </c>
      <c r="AM19" s="107">
        <v>396.33</v>
      </c>
      <c r="AN19" s="107">
        <v>367.44</v>
      </c>
      <c r="AO19" s="107">
        <v>233.24</v>
      </c>
      <c r="AP19" s="110">
        <v>16.899999999999999</v>
      </c>
      <c r="AQ19" s="107">
        <v>141.84</v>
      </c>
      <c r="AR19" s="107">
        <v>0</v>
      </c>
      <c r="AS19" s="111">
        <v>775.73</v>
      </c>
      <c r="AT19" s="111"/>
      <c r="AU19" s="107">
        <v>0</v>
      </c>
      <c r="AV19" s="107">
        <v>10.16</v>
      </c>
      <c r="AW19" s="107">
        <v>19.38</v>
      </c>
      <c r="AX19" s="107">
        <v>216.51</v>
      </c>
      <c r="AY19" s="107">
        <v>1279.06</v>
      </c>
      <c r="AZ19" s="107">
        <v>446.57</v>
      </c>
    </row>
    <row r="20" spans="1:53" s="112" customFormat="1" x14ac:dyDescent="0.2">
      <c r="A20" s="113" t="s">
        <v>42</v>
      </c>
      <c r="B20" s="107">
        <v>161.41999999999999</v>
      </c>
      <c r="C20" s="107">
        <v>99.72</v>
      </c>
      <c r="D20" s="108"/>
      <c r="E20" s="107">
        <v>82.42</v>
      </c>
      <c r="F20" s="107">
        <v>455.08</v>
      </c>
      <c r="G20" s="107"/>
      <c r="H20" s="107">
        <v>348.28</v>
      </c>
      <c r="I20" s="107">
        <v>894.72</v>
      </c>
      <c r="J20" s="109"/>
      <c r="K20" s="107">
        <v>286.72000000000003</v>
      </c>
      <c r="L20" s="107">
        <v>21.09</v>
      </c>
      <c r="M20" s="107">
        <v>424.42</v>
      </c>
      <c r="N20" s="107">
        <v>124.51</v>
      </c>
      <c r="O20" s="107">
        <v>251.26</v>
      </c>
      <c r="P20" s="107">
        <v>170.66</v>
      </c>
      <c r="Q20" s="107">
        <v>719.37</v>
      </c>
      <c r="R20" s="107">
        <v>209.81</v>
      </c>
      <c r="S20" s="107">
        <v>1029.4000000000001</v>
      </c>
      <c r="T20" s="108"/>
      <c r="U20" s="107">
        <v>38.82</v>
      </c>
      <c r="V20" s="107">
        <v>503.1</v>
      </c>
      <c r="W20" s="107">
        <v>157.58000000000001</v>
      </c>
      <c r="X20" s="107">
        <v>-435.28</v>
      </c>
      <c r="Y20" s="107">
        <v>1707.58</v>
      </c>
      <c r="Z20" s="107">
        <v>401.13</v>
      </c>
      <c r="AA20" s="107">
        <v>4385.34</v>
      </c>
      <c r="AB20" s="107">
        <v>1832.29</v>
      </c>
      <c r="AC20" s="107">
        <v>68.33</v>
      </c>
      <c r="AD20" s="107">
        <v>-840.03</v>
      </c>
      <c r="AE20" s="107">
        <v>213.2</v>
      </c>
      <c r="AF20" s="108">
        <v>0</v>
      </c>
      <c r="AG20" s="108">
        <v>0</v>
      </c>
      <c r="AH20" s="107">
        <v>0</v>
      </c>
      <c r="AI20" s="107">
        <v>158.28</v>
      </c>
      <c r="AJ20" s="107">
        <v>87.66</v>
      </c>
      <c r="AK20" s="107">
        <v>192.81</v>
      </c>
      <c r="AL20" s="107">
        <v>0</v>
      </c>
      <c r="AM20" s="107">
        <v>291.14999999999998</v>
      </c>
      <c r="AN20" s="107">
        <v>479.01</v>
      </c>
      <c r="AO20" s="107">
        <v>0</v>
      </c>
      <c r="AP20" s="110">
        <v>24.24</v>
      </c>
      <c r="AQ20" s="107">
        <v>157.28</v>
      </c>
      <c r="AR20" s="107">
        <v>0</v>
      </c>
      <c r="AS20" s="111">
        <v>432.76</v>
      </c>
      <c r="AT20" s="111"/>
      <c r="AU20" s="107">
        <v>0</v>
      </c>
      <c r="AV20" s="107">
        <v>10.16</v>
      </c>
      <c r="AW20" s="107">
        <v>19.63</v>
      </c>
      <c r="AX20" s="107">
        <v>238.14</v>
      </c>
      <c r="AY20" s="107">
        <v>0</v>
      </c>
      <c r="AZ20" s="107">
        <v>485.77</v>
      </c>
    </row>
    <row r="21" spans="1:53" s="112" customFormat="1" x14ac:dyDescent="0.2">
      <c r="A21" s="113" t="s">
        <v>43</v>
      </c>
      <c r="B21" s="107">
        <v>118.42</v>
      </c>
      <c r="C21" s="107">
        <v>130.58000000000001</v>
      </c>
      <c r="D21" s="108"/>
      <c r="E21" s="107">
        <v>71.84</v>
      </c>
      <c r="F21" s="107">
        <v>242.68</v>
      </c>
      <c r="G21" s="107"/>
      <c r="H21" s="107">
        <v>111.73</v>
      </c>
      <c r="I21" s="107">
        <v>653.36</v>
      </c>
      <c r="J21" s="109"/>
      <c r="K21" s="107">
        <v>216.78</v>
      </c>
      <c r="L21" s="107">
        <v>21.96</v>
      </c>
      <c r="M21" s="107">
        <v>309.95</v>
      </c>
      <c r="N21" s="107">
        <v>82.14</v>
      </c>
      <c r="O21" s="107">
        <v>169.11</v>
      </c>
      <c r="P21" s="107">
        <v>114.18</v>
      </c>
      <c r="Q21" s="107">
        <v>566.33000000000004</v>
      </c>
      <c r="R21" s="107">
        <v>133.66</v>
      </c>
      <c r="S21" s="107">
        <v>660.42</v>
      </c>
      <c r="T21" s="108"/>
      <c r="U21" s="107">
        <v>30.74</v>
      </c>
      <c r="V21" s="107">
        <v>337.74</v>
      </c>
      <c r="W21" s="107">
        <v>121.82</v>
      </c>
      <c r="X21" s="107">
        <v>-408.18</v>
      </c>
      <c r="Y21" s="107">
        <v>1027.7</v>
      </c>
      <c r="Z21" s="107">
        <v>280.27</v>
      </c>
      <c r="AA21" s="107">
        <v>2955.43</v>
      </c>
      <c r="AB21" s="107">
        <v>1154.97</v>
      </c>
      <c r="AC21" s="107">
        <v>37.08</v>
      </c>
      <c r="AD21" s="107">
        <v>25.21</v>
      </c>
      <c r="AE21" s="107">
        <v>157.21</v>
      </c>
      <c r="AF21" s="108">
        <v>0</v>
      </c>
      <c r="AG21" s="108">
        <v>0</v>
      </c>
      <c r="AH21" s="107">
        <v>0</v>
      </c>
      <c r="AI21" s="107">
        <v>431.03</v>
      </c>
      <c r="AJ21" s="107">
        <v>93.12</v>
      </c>
      <c r="AK21" s="107">
        <v>143.01</v>
      </c>
      <c r="AL21" s="107">
        <v>0</v>
      </c>
      <c r="AM21" s="107">
        <v>2.69</v>
      </c>
      <c r="AN21" s="107">
        <v>324.86</v>
      </c>
      <c r="AO21" s="107">
        <v>0</v>
      </c>
      <c r="AP21" s="110">
        <v>24.28</v>
      </c>
      <c r="AQ21" s="107">
        <v>112.93</v>
      </c>
      <c r="AR21" s="107">
        <v>0</v>
      </c>
      <c r="AS21" s="111">
        <v>326.27999999999997</v>
      </c>
      <c r="AT21" s="111"/>
      <c r="AU21" s="107">
        <v>0</v>
      </c>
      <c r="AV21" s="107">
        <v>10.16</v>
      </c>
      <c r="AW21" s="107">
        <v>143.69</v>
      </c>
      <c r="AX21" s="107">
        <v>207.51</v>
      </c>
      <c r="AY21" s="107">
        <v>0</v>
      </c>
      <c r="AZ21" s="107">
        <v>368.68</v>
      </c>
    </row>
    <row r="22" spans="1:53" s="112" customFormat="1" x14ac:dyDescent="0.2">
      <c r="A22" s="113" t="s">
        <v>44</v>
      </c>
      <c r="B22" s="107">
        <v>83.71</v>
      </c>
      <c r="C22" s="107">
        <v>43.65</v>
      </c>
      <c r="D22" s="108"/>
      <c r="E22" s="107">
        <v>76.45</v>
      </c>
      <c r="F22" s="107">
        <v>214.27</v>
      </c>
      <c r="G22" s="107"/>
      <c r="H22" s="107">
        <v>198.56</v>
      </c>
      <c r="I22" s="107">
        <v>557.52</v>
      </c>
      <c r="J22" s="109"/>
      <c r="K22" s="107">
        <v>152.19999999999999</v>
      </c>
      <c r="L22" s="107">
        <v>20.329999999999998</v>
      </c>
      <c r="M22" s="107">
        <v>132.37</v>
      </c>
      <c r="N22" s="107">
        <v>21.33</v>
      </c>
      <c r="O22" s="107">
        <v>143.83000000000001</v>
      </c>
      <c r="P22" s="107">
        <v>100.07</v>
      </c>
      <c r="Q22" s="107">
        <v>585.09</v>
      </c>
      <c r="R22" s="107">
        <v>140.57</v>
      </c>
      <c r="S22" s="107">
        <v>685.31</v>
      </c>
      <c r="T22" s="108"/>
      <c r="U22" s="107">
        <v>35.32</v>
      </c>
      <c r="V22" s="107">
        <v>283.81</v>
      </c>
      <c r="W22" s="107">
        <v>67.64</v>
      </c>
      <c r="X22" s="107">
        <v>-394.63</v>
      </c>
      <c r="Y22" s="107">
        <v>1221.27</v>
      </c>
      <c r="Z22" s="107">
        <v>209.48</v>
      </c>
      <c r="AA22" s="107">
        <v>2802.19</v>
      </c>
      <c r="AB22" s="107">
        <v>1237.77</v>
      </c>
      <c r="AC22" s="107">
        <v>14.52</v>
      </c>
      <c r="AD22" s="107">
        <v>-573.76</v>
      </c>
      <c r="AE22" s="107">
        <v>156.1</v>
      </c>
      <c r="AF22" s="108">
        <v>0</v>
      </c>
      <c r="AG22" s="108">
        <v>0</v>
      </c>
      <c r="AH22" s="107">
        <v>0</v>
      </c>
      <c r="AI22" s="107">
        <v>52.89</v>
      </c>
      <c r="AJ22" s="107">
        <v>61.82</v>
      </c>
      <c r="AK22" s="107">
        <v>75.680000000000007</v>
      </c>
      <c r="AL22" s="107">
        <v>0</v>
      </c>
      <c r="AM22" s="107">
        <v>20.53</v>
      </c>
      <c r="AN22" s="107">
        <v>149.74</v>
      </c>
      <c r="AO22" s="107">
        <v>0</v>
      </c>
      <c r="AP22" s="110">
        <v>24.4</v>
      </c>
      <c r="AQ22" s="107">
        <v>58.35</v>
      </c>
      <c r="AR22" s="107">
        <v>0</v>
      </c>
      <c r="AS22" s="111">
        <v>76.599999999999994</v>
      </c>
      <c r="AT22" s="111"/>
      <c r="AU22" s="107">
        <v>5.37</v>
      </c>
      <c r="AV22" s="107">
        <v>10.16</v>
      </c>
      <c r="AW22" s="107">
        <v>59.52</v>
      </c>
      <c r="AX22" s="107">
        <v>70.42</v>
      </c>
      <c r="AY22" s="107">
        <v>0</v>
      </c>
      <c r="AZ22" s="107">
        <v>215.64</v>
      </c>
    </row>
    <row r="23" spans="1:53" s="112" customFormat="1" x14ac:dyDescent="0.2">
      <c r="A23" s="113" t="s">
        <v>45</v>
      </c>
      <c r="B23" s="107">
        <v>56.28</v>
      </c>
      <c r="C23" s="107">
        <v>26.81</v>
      </c>
      <c r="D23" s="108"/>
      <c r="E23" s="107">
        <v>31.55</v>
      </c>
      <c r="F23" s="107">
        <v>56.66</v>
      </c>
      <c r="G23" s="107"/>
      <c r="H23" s="107">
        <v>93.19</v>
      </c>
      <c r="I23" s="107">
        <v>304.79000000000002</v>
      </c>
      <c r="J23" s="109"/>
      <c r="K23" s="107">
        <v>71.930000000000007</v>
      </c>
      <c r="L23" s="107">
        <v>23.8</v>
      </c>
      <c r="M23" s="107">
        <v>51.09</v>
      </c>
      <c r="N23" s="107">
        <v>20.239999999999998</v>
      </c>
      <c r="O23" s="107">
        <v>49.68</v>
      </c>
      <c r="P23" s="107">
        <v>68.55</v>
      </c>
      <c r="Q23" s="107">
        <v>237.82</v>
      </c>
      <c r="R23" s="107">
        <v>34.409999999999997</v>
      </c>
      <c r="S23" s="107">
        <v>93.32</v>
      </c>
      <c r="T23" s="108"/>
      <c r="U23" s="107">
        <v>33.83</v>
      </c>
      <c r="V23" s="107">
        <v>40.86</v>
      </c>
      <c r="W23" s="107">
        <v>17.45</v>
      </c>
      <c r="X23" s="107">
        <v>-381.08</v>
      </c>
      <c r="Y23" s="107">
        <v>68.25</v>
      </c>
      <c r="Z23" s="107">
        <v>28.96</v>
      </c>
      <c r="AA23" s="107">
        <v>795.04</v>
      </c>
      <c r="AB23" s="107">
        <v>391.27</v>
      </c>
      <c r="AC23" s="107">
        <v>5.15</v>
      </c>
      <c r="AD23" s="107">
        <v>-527.25</v>
      </c>
      <c r="AE23" s="107">
        <v>95.48</v>
      </c>
      <c r="AF23" s="108">
        <v>0</v>
      </c>
      <c r="AG23" s="108">
        <v>0</v>
      </c>
      <c r="AH23" s="107">
        <v>0</v>
      </c>
      <c r="AI23" s="107">
        <v>18.440000000000001</v>
      </c>
      <c r="AJ23" s="107">
        <v>13.43</v>
      </c>
      <c r="AK23" s="107">
        <v>36.479999999999997</v>
      </c>
      <c r="AL23" s="107">
        <v>0</v>
      </c>
      <c r="AM23" s="107">
        <v>3.23</v>
      </c>
      <c r="AN23" s="107">
        <v>32.65</v>
      </c>
      <c r="AO23" s="107">
        <v>0</v>
      </c>
      <c r="AP23" s="110">
        <v>15.19</v>
      </c>
      <c r="AQ23" s="107">
        <v>22.74</v>
      </c>
      <c r="AR23" s="107">
        <v>0</v>
      </c>
      <c r="AS23" s="111">
        <v>31.76</v>
      </c>
      <c r="AT23" s="111"/>
      <c r="AU23" s="107">
        <v>0</v>
      </c>
      <c r="AV23" s="107">
        <v>10.16</v>
      </c>
      <c r="AW23" s="107">
        <v>11.75</v>
      </c>
      <c r="AX23" s="107">
        <v>24.94</v>
      </c>
      <c r="AY23" s="107">
        <v>0</v>
      </c>
      <c r="AZ23" s="107">
        <v>82.13</v>
      </c>
    </row>
    <row r="24" spans="1:53" s="112" customFormat="1" x14ac:dyDescent="0.2">
      <c r="A24" s="113" t="s">
        <v>46</v>
      </c>
      <c r="B24" s="107">
        <v>21.36</v>
      </c>
      <c r="C24" s="107">
        <v>48.66</v>
      </c>
      <c r="D24" s="108"/>
      <c r="E24" s="107">
        <v>68.599999999999994</v>
      </c>
      <c r="F24" s="107">
        <v>16.27</v>
      </c>
      <c r="G24" s="107"/>
      <c r="H24" s="107">
        <v>52.26</v>
      </c>
      <c r="I24" s="107">
        <v>30.63</v>
      </c>
      <c r="J24" s="109"/>
      <c r="K24" s="107">
        <v>35.93</v>
      </c>
      <c r="L24" s="107">
        <v>20.399999999999999</v>
      </c>
      <c r="M24" s="107">
        <v>31.75</v>
      </c>
      <c r="N24" s="107">
        <v>22.4</v>
      </c>
      <c r="O24" s="107">
        <v>35.479999999999997</v>
      </c>
      <c r="P24" s="107">
        <v>84.85</v>
      </c>
      <c r="Q24" s="107">
        <v>98.04</v>
      </c>
      <c r="R24" s="107">
        <v>40.92</v>
      </c>
      <c r="S24" s="107">
        <v>68.19</v>
      </c>
      <c r="T24" s="108"/>
      <c r="U24" s="107">
        <v>32.82</v>
      </c>
      <c r="V24" s="107">
        <v>27.19</v>
      </c>
      <c r="W24" s="107">
        <v>16.37</v>
      </c>
      <c r="X24" s="107">
        <v>-367.53</v>
      </c>
      <c r="Y24" s="107">
        <v>108.52</v>
      </c>
      <c r="Z24" s="107">
        <v>16.940000000000001</v>
      </c>
      <c r="AA24" s="107">
        <v>689.57</v>
      </c>
      <c r="AB24" s="107">
        <v>403.95</v>
      </c>
      <c r="AC24" s="107">
        <v>15.5</v>
      </c>
      <c r="AD24" s="107">
        <v>-483.9</v>
      </c>
      <c r="AE24" s="107">
        <v>31.73</v>
      </c>
      <c r="AF24" s="108">
        <v>0</v>
      </c>
      <c r="AG24" s="108">
        <v>0</v>
      </c>
      <c r="AH24" s="107">
        <v>0</v>
      </c>
      <c r="AI24" s="107">
        <v>13</v>
      </c>
      <c r="AJ24" s="107">
        <v>1.03</v>
      </c>
      <c r="AK24" s="107">
        <v>13.72</v>
      </c>
      <c r="AL24" s="107">
        <v>0</v>
      </c>
      <c r="AM24" s="107">
        <v>72.09</v>
      </c>
      <c r="AN24" s="107">
        <v>13</v>
      </c>
      <c r="AO24" s="107">
        <v>0</v>
      </c>
      <c r="AP24" s="110">
        <v>16.28</v>
      </c>
      <c r="AQ24" s="107">
        <v>3.11</v>
      </c>
      <c r="AR24" s="107">
        <v>0</v>
      </c>
      <c r="AS24" s="111">
        <v>2.2000000000000002</v>
      </c>
      <c r="AT24" s="111"/>
      <c r="AU24" s="107">
        <v>0</v>
      </c>
      <c r="AV24" s="107">
        <v>10.16</v>
      </c>
      <c r="AW24" s="107">
        <v>10.42</v>
      </c>
      <c r="AX24" s="107">
        <v>14.68</v>
      </c>
      <c r="AY24" s="107">
        <v>0</v>
      </c>
      <c r="AZ24" s="107">
        <v>10.16</v>
      </c>
    </row>
    <row r="25" spans="1:53" s="112" customFormat="1" x14ac:dyDescent="0.2">
      <c r="A25" s="113" t="s">
        <v>47</v>
      </c>
      <c r="B25" s="107">
        <v>32.25</v>
      </c>
      <c r="C25" s="107">
        <v>22.45</v>
      </c>
      <c r="D25" s="108"/>
      <c r="E25" s="107">
        <v>50.22</v>
      </c>
      <c r="F25" s="107">
        <v>15.19</v>
      </c>
      <c r="G25" s="107"/>
      <c r="H25" s="107">
        <v>21.51</v>
      </c>
      <c r="I25" s="107">
        <v>28.31</v>
      </c>
      <c r="J25" s="109"/>
      <c r="K25" s="107">
        <v>13</v>
      </c>
      <c r="L25" s="107">
        <v>19.21</v>
      </c>
      <c r="M25" s="107">
        <v>24.93</v>
      </c>
      <c r="N25" s="107">
        <v>19.100000000000001</v>
      </c>
      <c r="O25" s="107">
        <v>32.200000000000003</v>
      </c>
      <c r="P25" s="107">
        <v>37.03</v>
      </c>
      <c r="Q25" s="107">
        <v>18.43</v>
      </c>
      <c r="R25" s="107">
        <v>16.940000000000001</v>
      </c>
      <c r="S25" s="107">
        <v>13.67</v>
      </c>
      <c r="T25" s="108"/>
      <c r="U25" s="107">
        <v>22.91</v>
      </c>
      <c r="V25" s="107">
        <v>20.39</v>
      </c>
      <c r="W25" s="107">
        <v>15.27</v>
      </c>
      <c r="X25" s="107">
        <v>-353.98</v>
      </c>
      <c r="Y25" s="107">
        <v>43.11</v>
      </c>
      <c r="Z25" s="107">
        <v>13.67</v>
      </c>
      <c r="AA25" s="107">
        <v>217.53</v>
      </c>
      <c r="AB25" s="107">
        <v>169.56</v>
      </c>
      <c r="AC25" s="107">
        <v>-15.5</v>
      </c>
      <c r="AD25" s="107">
        <v>-527.25</v>
      </c>
      <c r="AE25" s="107">
        <v>30.66</v>
      </c>
      <c r="AF25" s="108">
        <v>0</v>
      </c>
      <c r="AG25" s="108">
        <v>0</v>
      </c>
      <c r="AH25" s="107">
        <v>0</v>
      </c>
      <c r="AI25" s="107">
        <v>15.19</v>
      </c>
      <c r="AJ25" s="107">
        <v>4.1100000000000003</v>
      </c>
      <c r="AK25" s="107">
        <v>13.72</v>
      </c>
      <c r="AL25" s="107">
        <v>200.06</v>
      </c>
      <c r="AM25" s="107">
        <v>14.04</v>
      </c>
      <c r="AN25" s="107">
        <v>13</v>
      </c>
      <c r="AO25" s="107">
        <v>21.76</v>
      </c>
      <c r="AP25" s="110">
        <v>13</v>
      </c>
      <c r="AQ25" s="107">
        <v>1.03</v>
      </c>
      <c r="AR25" s="107">
        <v>2</v>
      </c>
      <c r="AS25" s="111">
        <v>0</v>
      </c>
      <c r="AT25" s="111"/>
      <c r="AU25" s="107">
        <v>0</v>
      </c>
      <c r="AV25" s="107">
        <v>10.16</v>
      </c>
      <c r="AW25" s="107">
        <v>11.78</v>
      </c>
      <c r="AX25" s="107">
        <v>14.68</v>
      </c>
      <c r="AY25" s="107">
        <v>4.13</v>
      </c>
      <c r="AZ25" s="107">
        <v>10.16</v>
      </c>
    </row>
    <row r="26" spans="1:53" s="112" customFormat="1" ht="15" x14ac:dyDescent="0.2">
      <c r="A26" s="113" t="s">
        <v>48</v>
      </c>
      <c r="B26" s="107">
        <v>21.38</v>
      </c>
      <c r="C26" s="107">
        <v>43.86</v>
      </c>
      <c r="D26" s="108"/>
      <c r="E26" s="107">
        <v>31.6</v>
      </c>
      <c r="F26" s="107">
        <v>13</v>
      </c>
      <c r="G26" s="107"/>
      <c r="H26" s="107">
        <v>22.68</v>
      </c>
      <c r="I26" s="107">
        <v>28.37</v>
      </c>
      <c r="J26" s="109"/>
      <c r="K26" s="107">
        <v>13</v>
      </c>
      <c r="L26" s="107">
        <v>19.23</v>
      </c>
      <c r="M26" s="107">
        <v>24.97</v>
      </c>
      <c r="N26" s="107">
        <v>22.43</v>
      </c>
      <c r="O26" s="107">
        <v>36.659999999999997</v>
      </c>
      <c r="P26" s="107">
        <v>39.92</v>
      </c>
      <c r="Q26" s="107">
        <v>15.19</v>
      </c>
      <c r="R26" s="107">
        <v>18.04</v>
      </c>
      <c r="S26" s="107">
        <v>19.13</v>
      </c>
      <c r="T26" s="108"/>
      <c r="U26" s="107">
        <v>27.27</v>
      </c>
      <c r="V26" s="107">
        <v>21.55</v>
      </c>
      <c r="W26" s="107">
        <v>16.37</v>
      </c>
      <c r="X26" s="107">
        <v>-340.43</v>
      </c>
      <c r="Y26" s="107">
        <v>53.07</v>
      </c>
      <c r="Z26" s="107">
        <v>13.67</v>
      </c>
      <c r="AA26" s="107">
        <v>268.72000000000003</v>
      </c>
      <c r="AB26" s="107">
        <v>220.55</v>
      </c>
      <c r="AC26" s="107">
        <v>343.95</v>
      </c>
      <c r="AD26" s="107">
        <v>-511.7</v>
      </c>
      <c r="AE26" s="107">
        <v>58.06</v>
      </c>
      <c r="AF26" s="108">
        <v>13.29</v>
      </c>
      <c r="AG26" s="108">
        <v>0</v>
      </c>
      <c r="AH26" s="108">
        <v>10.29</v>
      </c>
      <c r="AI26" s="114">
        <v>520.66</v>
      </c>
      <c r="AJ26" s="107">
        <v>1362.86</v>
      </c>
      <c r="AK26" s="107">
        <v>13.72</v>
      </c>
      <c r="AL26" s="107">
        <v>1377.21</v>
      </c>
      <c r="AM26" s="107">
        <v>5275.15</v>
      </c>
      <c r="AN26" s="107">
        <v>1910.68</v>
      </c>
      <c r="AO26" s="107">
        <v>181.96</v>
      </c>
      <c r="AP26" s="110">
        <v>1346.99</v>
      </c>
      <c r="AQ26" s="107">
        <v>486.29</v>
      </c>
      <c r="AR26" s="107">
        <v>13.29</v>
      </c>
      <c r="AS26" s="111">
        <v>1311.43</v>
      </c>
      <c r="AT26" s="111">
        <v>154.29</v>
      </c>
      <c r="AU26" s="107">
        <v>523.04</v>
      </c>
      <c r="AV26" s="107">
        <v>10.16</v>
      </c>
      <c r="AW26" s="107">
        <v>10.42</v>
      </c>
      <c r="AX26" s="107">
        <v>13.55</v>
      </c>
      <c r="AY26" s="107">
        <v>724.57</v>
      </c>
      <c r="AZ26" s="107">
        <v>10.16</v>
      </c>
    </row>
    <row r="27" spans="1:53" s="112" customFormat="1" ht="15" x14ac:dyDescent="0.2">
      <c r="A27" s="113" t="s">
        <v>49</v>
      </c>
      <c r="B27" s="107">
        <v>22.48</v>
      </c>
      <c r="C27" s="107">
        <v>29.04</v>
      </c>
      <c r="D27" s="108"/>
      <c r="E27" s="107">
        <v>42.56</v>
      </c>
      <c r="F27" s="107">
        <v>13</v>
      </c>
      <c r="G27" s="111"/>
      <c r="H27" s="107">
        <v>21.55</v>
      </c>
      <c r="I27" s="107">
        <v>29.52</v>
      </c>
      <c r="J27" s="109"/>
      <c r="K27" s="107">
        <v>13</v>
      </c>
      <c r="L27" s="107">
        <v>22.68</v>
      </c>
      <c r="M27" s="107">
        <v>27.24</v>
      </c>
      <c r="N27" s="107">
        <v>20.25</v>
      </c>
      <c r="O27" s="107">
        <v>33.369999999999997</v>
      </c>
      <c r="P27" s="107">
        <v>39.92</v>
      </c>
      <c r="Q27" s="107">
        <v>14.09</v>
      </c>
      <c r="R27" s="107">
        <v>18.04</v>
      </c>
      <c r="S27" s="107">
        <v>50.9</v>
      </c>
      <c r="T27" s="108"/>
      <c r="U27" s="107">
        <v>25.84</v>
      </c>
      <c r="V27" s="107">
        <v>20.41</v>
      </c>
      <c r="W27" s="107">
        <v>16.38</v>
      </c>
      <c r="X27" s="107">
        <v>-325.74</v>
      </c>
      <c r="Y27" s="107">
        <v>25.71</v>
      </c>
      <c r="Z27" s="107">
        <v>17.760000000000002</v>
      </c>
      <c r="AA27" s="107">
        <v>232.59</v>
      </c>
      <c r="AB27" s="107">
        <v>231.5</v>
      </c>
      <c r="AC27" s="107">
        <v>234.42</v>
      </c>
      <c r="AD27" s="107">
        <v>5926.73</v>
      </c>
      <c r="AE27" s="107">
        <v>59.46</v>
      </c>
      <c r="AF27" s="108">
        <v>18970.169999999998</v>
      </c>
      <c r="AG27" s="108">
        <v>0</v>
      </c>
      <c r="AH27" s="108">
        <v>27064.31</v>
      </c>
      <c r="AI27" s="114">
        <v>22292.63</v>
      </c>
      <c r="AJ27" s="114">
        <v>13089.1</v>
      </c>
      <c r="AK27" s="107">
        <v>13.72</v>
      </c>
      <c r="AL27" s="114">
        <v>23212.29</v>
      </c>
      <c r="AM27" s="114">
        <v>60601.36</v>
      </c>
      <c r="AN27" s="107">
        <v>34779.64</v>
      </c>
      <c r="AO27" s="107">
        <v>32036.5</v>
      </c>
      <c r="AP27" s="115">
        <v>27975.03</v>
      </c>
      <c r="AQ27" s="107">
        <v>17569.29</v>
      </c>
      <c r="AR27" s="114">
        <v>16744.759999999998</v>
      </c>
      <c r="AS27" s="109">
        <v>15186.23</v>
      </c>
      <c r="AT27" s="109">
        <v>37900.160000000003</v>
      </c>
      <c r="AU27" s="107">
        <v>0</v>
      </c>
      <c r="AV27" s="107">
        <v>10.16</v>
      </c>
      <c r="AW27" s="107">
        <v>21.36</v>
      </c>
      <c r="AX27" s="107">
        <v>14.69</v>
      </c>
      <c r="AY27" s="107">
        <v>5902.45</v>
      </c>
      <c r="AZ27" s="107">
        <v>10.16</v>
      </c>
    </row>
    <row r="28" spans="1:53" s="112" customFormat="1" ht="15" x14ac:dyDescent="0.2">
      <c r="A28" s="113" t="s">
        <v>50</v>
      </c>
      <c r="B28" s="107">
        <v>21.39</v>
      </c>
      <c r="C28" s="107">
        <v>34.520000000000003</v>
      </c>
      <c r="D28" s="108"/>
      <c r="E28" s="107">
        <v>48.04</v>
      </c>
      <c r="F28" s="107">
        <v>13</v>
      </c>
      <c r="G28" s="111"/>
      <c r="H28" s="107">
        <v>19.239999999999998</v>
      </c>
      <c r="I28" s="107">
        <v>27.24</v>
      </c>
      <c r="J28" s="109"/>
      <c r="K28" s="107">
        <v>13</v>
      </c>
      <c r="L28" s="107">
        <v>21.55</v>
      </c>
      <c r="M28" s="107">
        <v>24.97</v>
      </c>
      <c r="N28" s="107">
        <v>21.34</v>
      </c>
      <c r="O28" s="107">
        <v>36.659999999999997</v>
      </c>
      <c r="P28" s="107">
        <v>45.4</v>
      </c>
      <c r="Q28" s="107">
        <v>38.17</v>
      </c>
      <c r="R28" s="107">
        <v>19.13</v>
      </c>
      <c r="S28" s="107">
        <v>311.47000000000003</v>
      </c>
      <c r="T28" s="108"/>
      <c r="U28" s="107">
        <v>30.12</v>
      </c>
      <c r="V28" s="107">
        <v>21.55</v>
      </c>
      <c r="W28" s="107">
        <v>15.28</v>
      </c>
      <c r="X28" s="107">
        <v>-312.19</v>
      </c>
      <c r="Y28" s="107">
        <v>14.76</v>
      </c>
      <c r="Z28" s="107">
        <v>14.76</v>
      </c>
      <c r="AA28" s="107">
        <v>445.05</v>
      </c>
      <c r="AB28" s="107">
        <v>254.53</v>
      </c>
      <c r="AC28" s="114">
        <v>707.92</v>
      </c>
      <c r="AD28" s="107">
        <v>55687.79</v>
      </c>
      <c r="AE28" s="107">
        <v>75.2</v>
      </c>
      <c r="AF28" s="107">
        <v>14480.75</v>
      </c>
      <c r="AG28" s="108">
        <v>0</v>
      </c>
      <c r="AH28" s="114">
        <v>28769.119999999999</v>
      </c>
      <c r="AI28" s="114">
        <v>12043.21</v>
      </c>
      <c r="AJ28" s="114">
        <v>7113.89</v>
      </c>
      <c r="AK28" s="107">
        <v>13.72</v>
      </c>
      <c r="AL28" s="114">
        <v>10752.36</v>
      </c>
      <c r="AM28" s="114">
        <v>54045.83</v>
      </c>
      <c r="AN28" s="114">
        <v>21174.09</v>
      </c>
      <c r="AO28" s="114">
        <v>43008.93</v>
      </c>
      <c r="AP28" s="115">
        <v>32492.77</v>
      </c>
      <c r="AQ28" s="114">
        <v>13207.02</v>
      </c>
      <c r="AR28" s="114">
        <v>17454.14</v>
      </c>
      <c r="AS28" s="109">
        <v>10588.79</v>
      </c>
      <c r="AT28" s="109">
        <v>54781.66</v>
      </c>
      <c r="AU28" s="107">
        <v>775.9</v>
      </c>
      <c r="AV28" s="107">
        <v>10.16</v>
      </c>
      <c r="AW28" s="107">
        <v>39.14</v>
      </c>
      <c r="AX28" s="107">
        <v>13.55</v>
      </c>
      <c r="AY28" s="107">
        <v>5771.79</v>
      </c>
      <c r="AZ28" s="107">
        <v>36.020000000000003</v>
      </c>
    </row>
    <row r="29" spans="1:53" s="112" customFormat="1" ht="15" x14ac:dyDescent="0.2">
      <c r="A29" s="113" t="s">
        <v>51</v>
      </c>
      <c r="B29" s="107"/>
      <c r="C29" s="107">
        <v>21.4</v>
      </c>
      <c r="D29" s="108"/>
      <c r="E29" s="107">
        <v>42.4</v>
      </c>
      <c r="F29" s="107">
        <v>146.6</v>
      </c>
      <c r="G29" s="111"/>
      <c r="H29" s="107">
        <v>26.7</v>
      </c>
      <c r="I29" s="107">
        <v>56.47</v>
      </c>
      <c r="J29" s="109"/>
      <c r="K29" s="107">
        <v>107.95</v>
      </c>
      <c r="L29" s="107">
        <v>21.44</v>
      </c>
      <c r="M29" s="107">
        <v>102.89</v>
      </c>
      <c r="N29" s="107">
        <v>20.41</v>
      </c>
      <c r="O29" s="107">
        <v>167.14</v>
      </c>
      <c r="P29" s="107">
        <v>98.89</v>
      </c>
      <c r="Q29" s="107">
        <v>238.97</v>
      </c>
      <c r="R29" s="107">
        <v>74.98</v>
      </c>
      <c r="S29" s="107">
        <v>495.11</v>
      </c>
      <c r="T29" s="108"/>
      <c r="U29" s="107">
        <v>29.24</v>
      </c>
      <c r="V29" s="107">
        <v>182.32</v>
      </c>
      <c r="W29" s="107">
        <v>17.29</v>
      </c>
      <c r="X29" s="107">
        <v>-285.08999999999997</v>
      </c>
      <c r="Y29" s="107">
        <v>850.1</v>
      </c>
      <c r="Z29" s="107">
        <v>151.94999999999999</v>
      </c>
      <c r="AA29" s="107">
        <v>1984.66</v>
      </c>
      <c r="AB29" s="107">
        <v>1766.17</v>
      </c>
      <c r="AC29" s="114">
        <v>1.8</v>
      </c>
      <c r="AD29" s="114">
        <v>287.94</v>
      </c>
      <c r="AE29" s="112">
        <v>165.97</v>
      </c>
      <c r="AF29" s="114">
        <v>2.8</v>
      </c>
      <c r="AG29" s="114">
        <v>40.47</v>
      </c>
      <c r="AH29" s="114">
        <v>8218.6200000000008</v>
      </c>
      <c r="AI29" s="114">
        <v>188.57</v>
      </c>
      <c r="AJ29" s="114">
        <v>449.42</v>
      </c>
      <c r="AK29" s="107">
        <v>0</v>
      </c>
      <c r="AL29" s="114">
        <v>894.45</v>
      </c>
      <c r="AM29" s="114">
        <v>19004.509999999998</v>
      </c>
      <c r="AN29" s="114">
        <v>6895.22</v>
      </c>
      <c r="AO29" s="114">
        <v>6023.2</v>
      </c>
      <c r="AP29" s="115">
        <v>12626.41</v>
      </c>
      <c r="AQ29" s="114">
        <v>0</v>
      </c>
      <c r="AR29" s="114">
        <v>8324</v>
      </c>
      <c r="AS29" s="109">
        <v>37.090000000000003</v>
      </c>
      <c r="AT29" s="109">
        <v>20970.78</v>
      </c>
      <c r="AU29" s="114">
        <v>9543.68</v>
      </c>
      <c r="AV29" s="107">
        <v>10.16</v>
      </c>
      <c r="AW29" s="107">
        <v>17.25</v>
      </c>
      <c r="AX29" s="107">
        <v>42.22</v>
      </c>
      <c r="AY29" s="114">
        <v>4621</v>
      </c>
      <c r="AZ29" s="107">
        <v>146.31</v>
      </c>
    </row>
    <row r="30" spans="1:53" s="112" customFormat="1" ht="15" x14ac:dyDescent="0.2">
      <c r="A30" s="113" t="s">
        <v>52</v>
      </c>
      <c r="B30" s="107"/>
      <c r="C30" s="107">
        <v>116.47</v>
      </c>
      <c r="D30" s="108"/>
      <c r="E30" s="107">
        <v>71.87</v>
      </c>
      <c r="F30" s="107">
        <v>373.6</v>
      </c>
      <c r="G30" s="107"/>
      <c r="H30" s="107">
        <v>334.16</v>
      </c>
      <c r="I30" s="107">
        <v>293.54000000000002</v>
      </c>
      <c r="J30" s="109"/>
      <c r="K30" s="107">
        <v>205.31</v>
      </c>
      <c r="L30" s="107">
        <v>21.33</v>
      </c>
      <c r="M30" s="107">
        <v>302.19</v>
      </c>
      <c r="N30" s="107">
        <v>58.48</v>
      </c>
      <c r="O30" s="107">
        <v>299.07</v>
      </c>
      <c r="P30" s="107">
        <v>155.30000000000001</v>
      </c>
      <c r="Q30" s="107">
        <v>405.43</v>
      </c>
      <c r="R30" s="107">
        <v>212.77</v>
      </c>
      <c r="S30" s="107">
        <v>1073.96</v>
      </c>
      <c r="T30" s="108"/>
      <c r="U30" s="107">
        <v>27.59</v>
      </c>
      <c r="V30" s="107">
        <v>332.7</v>
      </c>
      <c r="W30" s="107">
        <v>18.07</v>
      </c>
      <c r="X30" s="107">
        <v>-271.54000000000002</v>
      </c>
      <c r="Y30" s="107">
        <v>1490.41</v>
      </c>
      <c r="Z30" s="107">
        <v>300.72000000000003</v>
      </c>
      <c r="AA30" s="107">
        <v>3789.93</v>
      </c>
      <c r="AB30" s="107">
        <v>2237.1</v>
      </c>
      <c r="AC30" s="114">
        <v>7.09</v>
      </c>
      <c r="AD30" s="114">
        <v>0</v>
      </c>
      <c r="AE30" s="112">
        <v>207.12</v>
      </c>
      <c r="AF30" s="114">
        <v>10556.68</v>
      </c>
      <c r="AG30" s="114">
        <v>49.36</v>
      </c>
      <c r="AH30" s="114">
        <v>3159.7</v>
      </c>
      <c r="AI30" s="114">
        <v>14.03</v>
      </c>
      <c r="AJ30" s="114">
        <v>172.73</v>
      </c>
      <c r="AK30" s="107">
        <v>0</v>
      </c>
      <c r="AL30" s="114">
        <v>0</v>
      </c>
      <c r="AM30" s="114">
        <v>3725.94</v>
      </c>
      <c r="AN30" s="114">
        <v>4029.55</v>
      </c>
      <c r="AO30" s="114">
        <v>522.30999999999995</v>
      </c>
      <c r="AP30" s="115">
        <v>816.65</v>
      </c>
      <c r="AQ30" s="114">
        <v>0</v>
      </c>
      <c r="AR30" s="114">
        <v>1713.14</v>
      </c>
      <c r="AS30" s="109">
        <v>170.88</v>
      </c>
      <c r="AT30" s="109">
        <v>1808.35</v>
      </c>
      <c r="AU30" s="114">
        <v>1717.86</v>
      </c>
      <c r="AV30" s="107">
        <v>10.16</v>
      </c>
      <c r="AW30" s="107">
        <v>11.52</v>
      </c>
      <c r="AX30" s="107">
        <v>211.03</v>
      </c>
      <c r="AY30" s="114">
        <v>989.85</v>
      </c>
      <c r="AZ30" s="107">
        <v>353.55</v>
      </c>
    </row>
    <row r="31" spans="1:53" s="120" customFormat="1" ht="13.5" thickBot="1" x14ac:dyDescent="0.25">
      <c r="A31" s="106" t="s">
        <v>58</v>
      </c>
      <c r="B31" s="116">
        <f>SUM(B19:B30)</f>
        <v>680.74</v>
      </c>
      <c r="C31" s="116">
        <f>SUM(C19:C30)</f>
        <v>641.97</v>
      </c>
      <c r="D31" s="116"/>
      <c r="E31" s="116">
        <f t="shared" ref="E31:AZ31" si="3">SUM(E19:E30)</f>
        <v>698.61000000000013</v>
      </c>
      <c r="F31" s="116">
        <f t="shared" si="3"/>
        <v>1843.85</v>
      </c>
      <c r="G31" s="117">
        <f t="shared" si="3"/>
        <v>0</v>
      </c>
      <c r="H31" s="116">
        <f t="shared" si="3"/>
        <v>1581.5400000000002</v>
      </c>
      <c r="I31" s="117">
        <f t="shared" si="3"/>
        <v>3414.7799999999993</v>
      </c>
      <c r="J31" s="118">
        <f t="shared" si="3"/>
        <v>0</v>
      </c>
      <c r="K31" s="117">
        <f t="shared" si="3"/>
        <v>1397.68</v>
      </c>
      <c r="L31" s="117">
        <f t="shared" si="3"/>
        <v>253.08999999999997</v>
      </c>
      <c r="M31" s="117">
        <f t="shared" si="3"/>
        <v>1849.6000000000004</v>
      </c>
      <c r="N31" s="117">
        <f t="shared" si="3"/>
        <v>527.63</v>
      </c>
      <c r="O31" s="119">
        <f t="shared" si="3"/>
        <v>1498.7299999999998</v>
      </c>
      <c r="P31" s="117">
        <f t="shared" si="3"/>
        <v>1108.4799999999998</v>
      </c>
      <c r="Q31" s="119">
        <f t="shared" si="3"/>
        <v>3575.37</v>
      </c>
      <c r="R31" s="119">
        <f t="shared" si="3"/>
        <v>1158.79</v>
      </c>
      <c r="S31" s="119">
        <f t="shared" si="3"/>
        <v>5610.7800000000007</v>
      </c>
      <c r="T31" s="117">
        <f t="shared" si="3"/>
        <v>0</v>
      </c>
      <c r="U31" s="119">
        <f t="shared" si="3"/>
        <v>364.47999999999996</v>
      </c>
      <c r="V31" s="119">
        <f t="shared" si="3"/>
        <v>2178.62</v>
      </c>
      <c r="W31" s="117">
        <f t="shared" si="3"/>
        <v>628.75</v>
      </c>
      <c r="X31" s="119">
        <f t="shared" si="3"/>
        <v>-4324.5</v>
      </c>
      <c r="Y31" s="119">
        <f t="shared" si="3"/>
        <v>8383.0300000000007</v>
      </c>
      <c r="Z31" s="119">
        <f t="shared" si="3"/>
        <v>1795.4500000000003</v>
      </c>
      <c r="AA31" s="119">
        <f t="shared" si="3"/>
        <v>23124.400000000001</v>
      </c>
      <c r="AB31" s="119">
        <f t="shared" si="3"/>
        <v>11846.830000000002</v>
      </c>
      <c r="AC31" s="119">
        <f t="shared" ref="AC31:AJ31" si="4">SUM(AC19:AC30)</f>
        <v>1471.8899999999999</v>
      </c>
      <c r="AD31" s="119">
        <f t="shared" si="4"/>
        <v>59312.23</v>
      </c>
      <c r="AE31" s="119">
        <f t="shared" si="4"/>
        <v>1476.63</v>
      </c>
      <c r="AF31" s="119">
        <f t="shared" si="4"/>
        <v>44023.69</v>
      </c>
      <c r="AG31" s="119">
        <f t="shared" si="4"/>
        <v>94.19</v>
      </c>
      <c r="AH31" s="119">
        <f t="shared" si="4"/>
        <v>67291.67</v>
      </c>
      <c r="AI31" s="119">
        <f t="shared" si="4"/>
        <v>35875.159999999996</v>
      </c>
      <c r="AJ31" s="119">
        <f t="shared" si="4"/>
        <v>22449.17</v>
      </c>
      <c r="AK31" s="119">
        <f t="shared" si="3"/>
        <v>694.26000000000022</v>
      </c>
      <c r="AL31" s="119">
        <f t="shared" si="3"/>
        <v>36635.259999999995</v>
      </c>
      <c r="AM31" s="117">
        <f t="shared" si="3"/>
        <v>143452.85</v>
      </c>
      <c r="AN31" s="117">
        <f t="shared" si="3"/>
        <v>70168.88</v>
      </c>
      <c r="AO31" s="119">
        <f t="shared" si="3"/>
        <v>82027.899999999994</v>
      </c>
      <c r="AP31" s="119">
        <f t="shared" si="3"/>
        <v>75392.14</v>
      </c>
      <c r="AQ31" s="119">
        <f t="shared" si="3"/>
        <v>31759.88</v>
      </c>
      <c r="AR31" s="119">
        <f t="shared" si="3"/>
        <v>44251.33</v>
      </c>
      <c r="AS31" s="119">
        <f t="shared" si="3"/>
        <v>28939.75</v>
      </c>
      <c r="AT31" s="119">
        <f>SUM(AT26:AT30)</f>
        <v>115615.24000000002</v>
      </c>
      <c r="AU31" s="119">
        <f t="shared" si="3"/>
        <v>12565.85</v>
      </c>
      <c r="AV31" s="119">
        <f t="shared" si="3"/>
        <v>121.91999999999997</v>
      </c>
      <c r="AW31" s="119">
        <f t="shared" si="3"/>
        <v>375.85999999999996</v>
      </c>
      <c r="AX31" s="119">
        <f t="shared" si="3"/>
        <v>1081.9199999999998</v>
      </c>
      <c r="AY31" s="119">
        <f>SUM(AY19:AY30)</f>
        <v>19292.849999999999</v>
      </c>
      <c r="AZ31" s="119">
        <f t="shared" si="3"/>
        <v>2175.3100000000004</v>
      </c>
    </row>
    <row r="32" spans="1:53" s="120" customFormat="1" ht="13.5" thickTop="1" x14ac:dyDescent="0.2">
      <c r="B32" s="120">
        <f t="shared" ref="B32:G32" si="5">IF(B16=0,"",(B31/B16))</f>
        <v>10.489060092449922</v>
      </c>
      <c r="C32" s="120">
        <f t="shared" si="5"/>
        <v>9.4304727208625909</v>
      </c>
      <c r="D32" s="120" t="str">
        <f t="shared" si="5"/>
        <v/>
      </c>
      <c r="E32" s="120">
        <f t="shared" si="5"/>
        <v>11.860950764006793</v>
      </c>
      <c r="F32" s="120">
        <f t="shared" si="5"/>
        <v>26.393123488069158</v>
      </c>
      <c r="G32" s="120" t="str">
        <f t="shared" si="5"/>
        <v/>
      </c>
      <c r="H32" s="120">
        <f t="shared" ref="H32:AZ32" si="6">IF(H16=0,"",(H31/H16))</f>
        <v>8.6612267250821482</v>
      </c>
      <c r="I32" s="120">
        <f t="shared" si="6"/>
        <v>21.591486778709353</v>
      </c>
      <c r="J32" s="120" t="str">
        <f t="shared" si="6"/>
        <v/>
      </c>
      <c r="K32" s="120">
        <f t="shared" si="6"/>
        <v>9.2439153439153454</v>
      </c>
      <c r="L32" s="120">
        <f t="shared" si="6"/>
        <v>27.21397849462365</v>
      </c>
      <c r="M32" s="120">
        <f t="shared" si="6"/>
        <v>9.3603238866396783</v>
      </c>
      <c r="N32" s="120">
        <f t="shared" si="6"/>
        <v>12.101605504587155</v>
      </c>
      <c r="O32" s="120">
        <f t="shared" si="6"/>
        <v>9.6195763799743244</v>
      </c>
      <c r="P32" s="120">
        <f t="shared" si="6"/>
        <v>11.74237288135593</v>
      </c>
      <c r="Q32" s="120">
        <f t="shared" si="6"/>
        <v>9.0653397565922926</v>
      </c>
      <c r="R32" s="120">
        <f t="shared" si="6"/>
        <v>9.8872866894197955</v>
      </c>
      <c r="S32" s="120">
        <f t="shared" si="6"/>
        <v>8.8178217821782194</v>
      </c>
      <c r="T32" s="120" t="str">
        <f t="shared" si="6"/>
        <v/>
      </c>
      <c r="U32" s="120">
        <f t="shared" si="6"/>
        <v>18.884974093264248</v>
      </c>
      <c r="V32" s="120">
        <f t="shared" si="6"/>
        <v>9.5011774967291753</v>
      </c>
      <c r="W32" s="120">
        <f t="shared" si="6"/>
        <v>10.766267123287671</v>
      </c>
      <c r="X32" s="120" t="str">
        <f t="shared" si="6"/>
        <v/>
      </c>
      <c r="Y32" s="120">
        <f t="shared" si="6"/>
        <v>8.5733585600327284</v>
      </c>
      <c r="Z32" s="120">
        <f t="shared" si="6"/>
        <v>9.226361767728676</v>
      </c>
      <c r="AA32" s="120">
        <f t="shared" si="6"/>
        <v>8.4386381053169366</v>
      </c>
      <c r="AB32" s="120">
        <f t="shared" si="6"/>
        <v>8.1696641610923404</v>
      </c>
      <c r="AC32" s="120">
        <f t="shared" si="6"/>
        <v>8.0873076923076912</v>
      </c>
      <c r="AD32" s="120">
        <f t="shared" si="6"/>
        <v>8.3198527142656751</v>
      </c>
      <c r="AF32" s="120">
        <f t="shared" si="6"/>
        <v>15.063193731608843</v>
      </c>
      <c r="AG32" s="120">
        <f t="shared" si="6"/>
        <v>10.350549450549451</v>
      </c>
      <c r="AH32" s="120">
        <f t="shared" si="6"/>
        <v>25.18023873671606</v>
      </c>
      <c r="AI32" s="120">
        <f t="shared" si="6"/>
        <v>17.833255455584826</v>
      </c>
      <c r="AJ32" s="120">
        <f t="shared" si="6"/>
        <v>34.14322433460076</v>
      </c>
      <c r="AK32" s="120" t="str">
        <f t="shared" si="6"/>
        <v/>
      </c>
      <c r="AL32" s="120">
        <f t="shared" si="6"/>
        <v>17.658099966260181</v>
      </c>
      <c r="AM32" s="120">
        <f t="shared" si="6"/>
        <v>17.070607484976499</v>
      </c>
      <c r="AN32" s="120">
        <f t="shared" si="6"/>
        <v>17.254076915510968</v>
      </c>
      <c r="AO32" s="120">
        <f t="shared" si="6"/>
        <v>17.690245638249692</v>
      </c>
      <c r="AP32" s="120">
        <f t="shared" si="6"/>
        <v>15.84800723114437</v>
      </c>
      <c r="AQ32" s="120">
        <f t="shared" si="6"/>
        <v>20.173969383217941</v>
      </c>
      <c r="AR32" s="120">
        <f t="shared" si="6"/>
        <v>15.904014519838988</v>
      </c>
      <c r="AS32" s="120">
        <f t="shared" si="6"/>
        <v>33.584484159220146</v>
      </c>
      <c r="AU32" s="120">
        <f t="shared" si="6"/>
        <v>10.025410882399871</v>
      </c>
      <c r="AV32" s="120" t="str">
        <f t="shared" si="6"/>
        <v/>
      </c>
      <c r="AW32" s="120">
        <f t="shared" si="6"/>
        <v>15.278861788617883</v>
      </c>
      <c r="AX32" s="120">
        <f t="shared" si="6"/>
        <v>9.8986276303751133</v>
      </c>
      <c r="AY32" s="120">
        <f t="shared" si="6"/>
        <v>14.764559577561796</v>
      </c>
      <c r="AZ32" s="120">
        <f t="shared" si="6"/>
        <v>9.9374600274097773</v>
      </c>
    </row>
    <row r="35" spans="45:47" ht="15" x14ac:dyDescent="0.2">
      <c r="AS35" s="45"/>
      <c r="AT35" s="45"/>
      <c r="AU35" s="46"/>
    </row>
    <row r="36" spans="45:47" ht="15" x14ac:dyDescent="0.2">
      <c r="AS36" s="45"/>
      <c r="AT36" s="45"/>
      <c r="AU36" s="46"/>
    </row>
    <row r="37" spans="45:47" ht="15" x14ac:dyDescent="0.2">
      <c r="AS37" s="45"/>
      <c r="AT37" s="45"/>
      <c r="AU37" s="46"/>
    </row>
    <row r="38" spans="45:47" ht="15" x14ac:dyDescent="0.2">
      <c r="AS38" s="45"/>
      <c r="AT38" s="45"/>
    </row>
    <row r="39" spans="45:47" ht="15" x14ac:dyDescent="0.2">
      <c r="AS39" s="45"/>
      <c r="AT39" s="45"/>
      <c r="AU39" s="46"/>
    </row>
    <row r="40" spans="45:47" ht="15" x14ac:dyDescent="0.2">
      <c r="AS40" s="45"/>
      <c r="AT40" s="45"/>
      <c r="AU40" s="46"/>
    </row>
    <row r="41" spans="45:47" ht="15" x14ac:dyDescent="0.2">
      <c r="AS41" s="45"/>
      <c r="AT41" s="45"/>
      <c r="AU41" s="46"/>
    </row>
    <row r="42" spans="45:47" ht="15" x14ac:dyDescent="0.2">
      <c r="AS42" s="45"/>
      <c r="AT42" s="45"/>
      <c r="AU42" s="46"/>
    </row>
    <row r="43" spans="45:47" ht="15" x14ac:dyDescent="0.2">
      <c r="AS43" s="45"/>
      <c r="AT43" s="45"/>
      <c r="AU43" s="46"/>
    </row>
    <row r="44" spans="45:47" ht="15" x14ac:dyDescent="0.2">
      <c r="AS44" s="45"/>
      <c r="AT44" s="45"/>
      <c r="AU44" s="46"/>
    </row>
    <row r="45" spans="45:47" ht="15" x14ac:dyDescent="0.2">
      <c r="AS45" s="45"/>
      <c r="AT45" s="45"/>
      <c r="AU45" s="46"/>
    </row>
    <row r="46" spans="45:47" ht="15" x14ac:dyDescent="0.2">
      <c r="AS46" s="45"/>
      <c r="AT46" s="45"/>
      <c r="AU46" s="46"/>
    </row>
    <row r="47" spans="45:47" ht="15" x14ac:dyDescent="0.2">
      <c r="AS47" s="45"/>
      <c r="AT47" s="45"/>
      <c r="AU47" s="46"/>
    </row>
    <row r="48" spans="45:47" ht="15" x14ac:dyDescent="0.2">
      <c r="AS48" s="45"/>
      <c r="AT48" s="45"/>
      <c r="AU48" s="46"/>
    </row>
    <row r="49" spans="45:47" ht="15" x14ac:dyDescent="0.2">
      <c r="AS49" s="45"/>
      <c r="AT49" s="45"/>
      <c r="AU49" s="46"/>
    </row>
    <row r="50" spans="45:47" ht="15" x14ac:dyDescent="0.2">
      <c r="AS50" s="45"/>
      <c r="AT50" s="45"/>
      <c r="AU50" s="46"/>
    </row>
    <row r="51" spans="45:47" ht="15" x14ac:dyDescent="0.2">
      <c r="AS51" s="45"/>
      <c r="AT51" s="45"/>
      <c r="AU51" s="46"/>
    </row>
    <row r="52" spans="45:47" ht="15" x14ac:dyDescent="0.2">
      <c r="AS52" s="45"/>
      <c r="AT52" s="45"/>
      <c r="AU52" s="46"/>
    </row>
    <row r="53" spans="45:47" ht="15" x14ac:dyDescent="0.2">
      <c r="AS53" s="45"/>
      <c r="AT53" s="45"/>
      <c r="AU53" s="46"/>
    </row>
    <row r="54" spans="45:47" ht="15" x14ac:dyDescent="0.2">
      <c r="AS54" s="45"/>
      <c r="AT54" s="45"/>
      <c r="AU54" s="46"/>
    </row>
  </sheetData>
  <phoneticPr fontId="1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36" sqref="J36"/>
    </sheetView>
  </sheetViews>
  <sheetFormatPr defaultRowHeight="12.75" x14ac:dyDescent="0.2"/>
  <cols>
    <col min="1" max="1" width="11.42578125" customWidth="1"/>
    <col min="2" max="2" width="11.42578125" bestFit="1" customWidth="1"/>
    <col min="3" max="3" width="9.28515625" bestFit="1" customWidth="1"/>
    <col min="5" max="5" width="9.28515625" bestFit="1" customWidth="1"/>
    <col min="6" max="6" width="9.85546875" bestFit="1" customWidth="1"/>
    <col min="7" max="7" width="9.28515625" bestFit="1" customWidth="1"/>
    <col min="8" max="8" width="11" bestFit="1" customWidth="1"/>
    <col min="9" max="9" width="10.28515625" customWidth="1"/>
    <col min="11" max="11" width="12.140625" customWidth="1"/>
    <col min="12" max="12" width="9.28515625" bestFit="1" customWidth="1"/>
    <col min="13" max="13" width="9.85546875" bestFit="1" customWidth="1"/>
    <col min="14" max="14" width="9.28515625" bestFit="1" customWidth="1"/>
    <col min="15" max="18" width="9.85546875" bestFit="1" customWidth="1"/>
    <col min="19" max="19" width="11" customWidth="1"/>
    <col min="21" max="21" width="9.28515625" bestFit="1" customWidth="1"/>
    <col min="22" max="22" width="9.85546875" bestFit="1" customWidth="1"/>
    <col min="23" max="23" width="9.28515625" bestFit="1" customWidth="1"/>
    <col min="24" max="24" width="11.28515625" customWidth="1"/>
    <col min="25" max="25" width="11" customWidth="1"/>
    <col min="26" max="26" width="11.42578125" customWidth="1"/>
    <col min="27" max="27" width="11" customWidth="1"/>
    <col min="28" max="28" width="10.7109375" customWidth="1"/>
    <col min="29" max="29" width="14.42578125" customWidth="1"/>
    <col min="30" max="30" width="14.140625" customWidth="1"/>
    <col min="31" max="31" width="12.5703125" customWidth="1"/>
    <col min="32" max="32" width="15" customWidth="1"/>
    <col min="33" max="33" width="14.42578125" customWidth="1"/>
    <col min="34" max="34" width="14.5703125" customWidth="1"/>
    <col min="35" max="35" width="13.85546875" customWidth="1"/>
    <col min="36" max="36" width="14.140625" customWidth="1"/>
    <col min="37" max="37" width="12.5703125" style="25" customWidth="1"/>
    <col min="38" max="38" width="13.85546875" customWidth="1"/>
    <col min="39" max="39" width="15.7109375" customWidth="1"/>
    <col min="40" max="40" width="13.85546875" customWidth="1"/>
    <col min="41" max="41" width="15.28515625" customWidth="1"/>
    <col min="42" max="42" width="15.5703125" customWidth="1"/>
    <col min="43" max="43" width="16.140625" customWidth="1"/>
    <col min="44" max="44" width="14" customWidth="1"/>
    <col min="45" max="45" width="12.42578125" customWidth="1"/>
    <col min="46" max="46" width="14.42578125" customWidth="1"/>
    <col min="47" max="47" width="11.140625" customWidth="1"/>
    <col min="48" max="48" width="9.28515625" bestFit="1" customWidth="1"/>
    <col min="49" max="49" width="10.28515625" customWidth="1"/>
    <col min="50" max="50" width="14.5703125" customWidth="1"/>
    <col min="51" max="51" width="10.5703125" customWidth="1"/>
    <col min="52" max="52" width="10.7109375" bestFit="1" customWidth="1"/>
  </cols>
  <sheetData>
    <row r="1" spans="1:52" x14ac:dyDescent="0.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V1" s="3"/>
      <c r="X1" s="2"/>
      <c r="Y1" s="3"/>
      <c r="AA1" s="2"/>
      <c r="AB1" s="3"/>
      <c r="AD1" s="2"/>
      <c r="AE1" s="2"/>
      <c r="AF1" s="2"/>
      <c r="AG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2" s="1" customFormat="1" x14ac:dyDescent="0.2">
      <c r="A2" s="1" t="s">
        <v>1</v>
      </c>
      <c r="B2" s="47">
        <v>594386</v>
      </c>
      <c r="C2" s="26">
        <v>1588956</v>
      </c>
      <c r="D2" s="26"/>
      <c r="E2" s="48">
        <v>33513</v>
      </c>
      <c r="F2" s="48">
        <v>33514</v>
      </c>
      <c r="G2" s="48">
        <v>105744</v>
      </c>
      <c r="H2" s="49">
        <v>263686</v>
      </c>
      <c r="I2" s="26">
        <v>263691</v>
      </c>
      <c r="J2" s="48">
        <v>263754</v>
      </c>
      <c r="K2" s="48">
        <v>539243</v>
      </c>
      <c r="L2" s="26">
        <v>539246</v>
      </c>
      <c r="M2" s="26">
        <v>574126</v>
      </c>
      <c r="N2" s="26">
        <v>637887</v>
      </c>
      <c r="O2" s="26">
        <v>637888</v>
      </c>
      <c r="P2" s="26">
        <v>637889</v>
      </c>
      <c r="Q2" s="26">
        <v>637890</v>
      </c>
      <c r="R2" s="26">
        <v>637892</v>
      </c>
      <c r="S2" s="26">
        <v>647598</v>
      </c>
      <c r="T2" s="26">
        <v>647856</v>
      </c>
      <c r="U2" s="26">
        <v>687022</v>
      </c>
      <c r="V2" s="26">
        <v>687023</v>
      </c>
      <c r="W2" s="26">
        <v>687831</v>
      </c>
      <c r="X2" s="26">
        <v>740818</v>
      </c>
      <c r="Y2" s="26">
        <v>740824</v>
      </c>
      <c r="Z2" s="26">
        <v>740838</v>
      </c>
      <c r="AA2" s="26">
        <v>740876</v>
      </c>
      <c r="AB2" s="26">
        <v>740882</v>
      </c>
      <c r="AC2" s="50">
        <v>741089</v>
      </c>
      <c r="AD2" s="50">
        <v>742815</v>
      </c>
      <c r="AE2" s="26">
        <v>742950</v>
      </c>
      <c r="AF2" s="50">
        <v>749325</v>
      </c>
      <c r="AG2" s="51">
        <v>749330</v>
      </c>
      <c r="AH2" s="50">
        <v>749334</v>
      </c>
      <c r="AI2" s="52">
        <v>749339</v>
      </c>
      <c r="AJ2" s="53">
        <v>762803</v>
      </c>
      <c r="AK2" s="54">
        <v>765933</v>
      </c>
      <c r="AL2" s="53">
        <v>868849</v>
      </c>
      <c r="AM2" s="53">
        <v>869044</v>
      </c>
      <c r="AN2" s="53">
        <v>869127</v>
      </c>
      <c r="AO2" s="53">
        <v>869308</v>
      </c>
      <c r="AP2" s="53">
        <v>869309</v>
      </c>
      <c r="AQ2" s="53">
        <v>869446</v>
      </c>
      <c r="AR2" s="53">
        <v>888353</v>
      </c>
      <c r="AS2" s="53">
        <v>888354</v>
      </c>
      <c r="AT2" s="53">
        <v>888355</v>
      </c>
      <c r="AU2" s="48">
        <v>1060882</v>
      </c>
      <c r="AV2" s="26">
        <v>1064052</v>
      </c>
      <c r="AW2" s="7" t="s">
        <v>2</v>
      </c>
      <c r="AX2" s="44">
        <v>672937</v>
      </c>
      <c r="AY2" s="7">
        <v>1342205</v>
      </c>
    </row>
    <row r="3" spans="1:52" ht="22.5" x14ac:dyDescent="0.2">
      <c r="A3" s="8">
        <v>2010</v>
      </c>
      <c r="B3" s="9" t="s">
        <v>3</v>
      </c>
      <c r="C3" s="9" t="s">
        <v>3</v>
      </c>
      <c r="D3" s="9" t="s">
        <v>3</v>
      </c>
      <c r="E3" s="8" t="s">
        <v>4</v>
      </c>
      <c r="F3" s="8" t="s">
        <v>4</v>
      </c>
      <c r="G3" s="8" t="s">
        <v>5</v>
      </c>
      <c r="H3" s="8" t="s">
        <v>6</v>
      </c>
      <c r="I3" s="10" t="s">
        <v>6</v>
      </c>
      <c r="J3" s="8" t="s">
        <v>6</v>
      </c>
      <c r="K3" s="11" t="s">
        <v>7</v>
      </c>
      <c r="L3" s="12" t="s">
        <v>8</v>
      </c>
      <c r="M3" s="13" t="s">
        <v>9</v>
      </c>
      <c r="N3" s="14" t="s">
        <v>10</v>
      </c>
      <c r="O3" s="14" t="s">
        <v>11</v>
      </c>
      <c r="P3" s="20" t="s">
        <v>12</v>
      </c>
      <c r="Q3" s="20" t="s">
        <v>13</v>
      </c>
      <c r="R3" s="125" t="s">
        <v>14</v>
      </c>
      <c r="S3" s="13" t="s">
        <v>15</v>
      </c>
      <c r="T3" s="17" t="s">
        <v>16</v>
      </c>
      <c r="U3" s="17" t="s">
        <v>17</v>
      </c>
      <c r="V3" s="18" t="s">
        <v>18</v>
      </c>
      <c r="W3" s="16" t="s">
        <v>19</v>
      </c>
      <c r="X3" s="18" t="s">
        <v>20</v>
      </c>
      <c r="Y3" s="19" t="s">
        <v>21</v>
      </c>
      <c r="Z3" s="16" t="s">
        <v>22</v>
      </c>
      <c r="AA3" s="16" t="s">
        <v>23</v>
      </c>
      <c r="AB3" s="20" t="s">
        <v>24</v>
      </c>
      <c r="AC3" s="20" t="s">
        <v>25</v>
      </c>
      <c r="AD3" s="21" t="s">
        <v>26</v>
      </c>
      <c r="AE3" s="21" t="s">
        <v>26</v>
      </c>
      <c r="AF3" s="20" t="s">
        <v>27</v>
      </c>
      <c r="AG3" s="20" t="s">
        <v>55</v>
      </c>
      <c r="AH3" s="12" t="s">
        <v>28</v>
      </c>
      <c r="AI3" s="22" t="s">
        <v>29</v>
      </c>
      <c r="AJ3" s="12" t="s">
        <v>19</v>
      </c>
      <c r="AK3" s="20" t="s">
        <v>30</v>
      </c>
      <c r="AL3" s="20" t="s">
        <v>4</v>
      </c>
      <c r="AM3" s="16" t="s">
        <v>31</v>
      </c>
      <c r="AN3" s="20" t="s">
        <v>32</v>
      </c>
      <c r="AO3" s="20" t="s">
        <v>5</v>
      </c>
      <c r="AP3" s="20" t="s">
        <v>33</v>
      </c>
      <c r="AQ3" s="20" t="s">
        <v>34</v>
      </c>
      <c r="AR3" s="18" t="s">
        <v>56</v>
      </c>
      <c r="AS3" s="20" t="s">
        <v>35</v>
      </c>
      <c r="AT3" s="20" t="s">
        <v>36</v>
      </c>
      <c r="AU3" s="20" t="s">
        <v>37</v>
      </c>
      <c r="AV3" s="43" t="s">
        <v>38</v>
      </c>
      <c r="AW3" s="24" t="s">
        <v>39</v>
      </c>
      <c r="AX3" s="23" t="s">
        <v>57</v>
      </c>
      <c r="AY3" s="23" t="s">
        <v>40</v>
      </c>
      <c r="AZ3" s="23"/>
    </row>
    <row r="4" spans="1:52" x14ac:dyDescent="0.2">
      <c r="A4" s="26" t="s">
        <v>59</v>
      </c>
      <c r="B4" s="126">
        <v>192</v>
      </c>
      <c r="C4" s="126">
        <v>141</v>
      </c>
      <c r="D4" s="126"/>
      <c r="E4" s="126">
        <v>19</v>
      </c>
      <c r="F4" s="126">
        <v>486</v>
      </c>
      <c r="G4" s="126">
        <v>2</v>
      </c>
      <c r="H4" s="126">
        <v>530</v>
      </c>
      <c r="I4" s="126">
        <v>1098</v>
      </c>
      <c r="J4" s="126"/>
      <c r="K4" s="126">
        <v>338</v>
      </c>
      <c r="L4" s="126">
        <v>9</v>
      </c>
      <c r="M4" s="126">
        <v>536</v>
      </c>
      <c r="N4" s="126">
        <v>153</v>
      </c>
      <c r="O4" s="126">
        <v>313</v>
      </c>
      <c r="P4" s="126">
        <v>186</v>
      </c>
      <c r="Q4" s="126">
        <v>724</v>
      </c>
      <c r="R4" s="126">
        <v>244</v>
      </c>
      <c r="S4" s="126">
        <v>1317</v>
      </c>
      <c r="T4" s="126"/>
      <c r="U4" s="126">
        <v>22</v>
      </c>
      <c r="V4" s="126">
        <v>578</v>
      </c>
      <c r="W4" s="126">
        <v>209</v>
      </c>
      <c r="X4" s="127">
        <v>5113</v>
      </c>
      <c r="Y4" s="126">
        <v>3415</v>
      </c>
      <c r="Z4" s="126">
        <v>553</v>
      </c>
      <c r="AA4" s="126">
        <v>5341</v>
      </c>
      <c r="AB4" s="126">
        <v>2326</v>
      </c>
      <c r="AC4" s="126">
        <v>96</v>
      </c>
      <c r="AD4" s="126">
        <v>0</v>
      </c>
      <c r="AE4" s="126">
        <v>137</v>
      </c>
      <c r="AF4" s="126">
        <v>0</v>
      </c>
      <c r="AG4" s="126">
        <v>87</v>
      </c>
      <c r="AH4" s="126">
        <v>240</v>
      </c>
      <c r="AI4" s="126">
        <v>6</v>
      </c>
      <c r="AJ4" s="126">
        <v>195</v>
      </c>
      <c r="AK4" s="126">
        <v>4310</v>
      </c>
      <c r="AL4" s="126">
        <v>0</v>
      </c>
      <c r="AM4" s="126">
        <v>5536</v>
      </c>
      <c r="AN4" s="126">
        <v>817</v>
      </c>
      <c r="AO4" s="126">
        <v>130</v>
      </c>
      <c r="AP4" s="126">
        <v>146</v>
      </c>
      <c r="AQ4" s="126">
        <v>222</v>
      </c>
      <c r="AR4" s="126">
        <v>0</v>
      </c>
      <c r="AS4" s="126">
        <f>599+655</f>
        <v>1254</v>
      </c>
      <c r="AT4" s="126">
        <v>5</v>
      </c>
      <c r="AU4" s="126">
        <v>12</v>
      </c>
      <c r="AV4" s="126">
        <v>13</v>
      </c>
      <c r="AW4" s="126">
        <v>250</v>
      </c>
      <c r="AX4" s="126">
        <v>3046</v>
      </c>
      <c r="AY4" s="126">
        <v>506</v>
      </c>
      <c r="AZ4" s="126"/>
    </row>
    <row r="5" spans="1:52" x14ac:dyDescent="0.2">
      <c r="A5" s="25" t="s">
        <v>42</v>
      </c>
      <c r="B5" s="126">
        <v>205</v>
      </c>
      <c r="C5" s="126">
        <v>182</v>
      </c>
      <c r="D5" s="126"/>
      <c r="E5" s="126">
        <v>20</v>
      </c>
      <c r="F5" s="126">
        <v>532</v>
      </c>
      <c r="G5" s="126">
        <v>117</v>
      </c>
      <c r="H5" s="126">
        <v>653</v>
      </c>
      <c r="I5" s="126">
        <v>1226</v>
      </c>
      <c r="J5" s="126"/>
      <c r="K5" s="126">
        <v>371</v>
      </c>
      <c r="L5" s="126">
        <v>10</v>
      </c>
      <c r="M5" s="126">
        <v>552</v>
      </c>
      <c r="N5" s="126">
        <v>148</v>
      </c>
      <c r="O5" s="126">
        <v>303</v>
      </c>
      <c r="P5" s="126">
        <v>182</v>
      </c>
      <c r="Q5" s="126">
        <v>780</v>
      </c>
      <c r="R5" s="126">
        <v>188</v>
      </c>
      <c r="S5" s="126">
        <v>1271</v>
      </c>
      <c r="T5" s="126"/>
      <c r="U5" s="126">
        <v>19</v>
      </c>
      <c r="V5" s="126">
        <v>548</v>
      </c>
      <c r="W5" s="126">
        <v>196</v>
      </c>
      <c r="X5" s="127">
        <v>0</v>
      </c>
      <c r="Y5" s="126">
        <v>1820</v>
      </c>
      <c r="Z5" s="126">
        <v>493</v>
      </c>
      <c r="AA5" s="126">
        <v>4847</v>
      </c>
      <c r="AB5" s="126">
        <v>1861</v>
      </c>
      <c r="AC5" s="126">
        <v>117</v>
      </c>
      <c r="AD5" s="126">
        <v>0</v>
      </c>
      <c r="AE5" s="126">
        <v>192</v>
      </c>
      <c r="AF5" s="126">
        <v>0</v>
      </c>
      <c r="AG5" s="126">
        <v>82</v>
      </c>
      <c r="AH5" s="126">
        <v>0</v>
      </c>
      <c r="AI5" s="126">
        <v>0</v>
      </c>
      <c r="AJ5" s="126">
        <v>143</v>
      </c>
      <c r="AK5" s="126">
        <v>205</v>
      </c>
      <c r="AL5" s="126">
        <v>0</v>
      </c>
      <c r="AM5" s="126">
        <v>355</v>
      </c>
      <c r="AN5" s="126">
        <v>735</v>
      </c>
      <c r="AO5" s="126">
        <v>0</v>
      </c>
      <c r="AP5" s="126">
        <v>2</v>
      </c>
      <c r="AQ5" s="126">
        <v>193</v>
      </c>
      <c r="AR5" s="126">
        <v>0</v>
      </c>
      <c r="AS5" s="126">
        <f>461+255</f>
        <v>716</v>
      </c>
      <c r="AT5" s="126">
        <v>5</v>
      </c>
      <c r="AU5" s="126">
        <v>12</v>
      </c>
      <c r="AV5" s="126">
        <v>133</v>
      </c>
      <c r="AW5" s="126">
        <v>396</v>
      </c>
      <c r="AX5" s="126">
        <v>203</v>
      </c>
      <c r="AY5" s="126">
        <v>652</v>
      </c>
      <c r="AZ5" s="126"/>
    </row>
    <row r="6" spans="1:52" x14ac:dyDescent="0.2">
      <c r="A6" s="25" t="s">
        <v>43</v>
      </c>
      <c r="B6" s="126">
        <v>157</v>
      </c>
      <c r="C6" s="126">
        <v>0</v>
      </c>
      <c r="D6" s="126"/>
      <c r="E6" s="126">
        <v>36</v>
      </c>
      <c r="F6" s="126">
        <v>452</v>
      </c>
      <c r="G6" s="126">
        <v>125</v>
      </c>
      <c r="H6" s="126">
        <v>592</v>
      </c>
      <c r="I6" s="126">
        <v>1104</v>
      </c>
      <c r="J6" s="126"/>
      <c r="K6" s="126">
        <v>290</v>
      </c>
      <c r="L6" s="126">
        <v>9</v>
      </c>
      <c r="M6" s="126">
        <v>439</v>
      </c>
      <c r="N6" s="126">
        <v>145</v>
      </c>
      <c r="O6" s="126">
        <v>293</v>
      </c>
      <c r="P6" s="126">
        <v>171</v>
      </c>
      <c r="Q6" s="126">
        <v>909</v>
      </c>
      <c r="R6" s="126">
        <v>221</v>
      </c>
      <c r="S6" s="126">
        <v>1095</v>
      </c>
      <c r="T6" s="126"/>
      <c r="U6" s="126">
        <v>18</v>
      </c>
      <c r="V6" s="126">
        <v>512</v>
      </c>
      <c r="W6" s="126">
        <v>166</v>
      </c>
      <c r="X6" s="127">
        <v>0</v>
      </c>
      <c r="Y6" s="126">
        <v>1932</v>
      </c>
      <c r="Z6" s="126">
        <v>469</v>
      </c>
      <c r="AA6" s="126">
        <v>4494</v>
      </c>
      <c r="AB6" s="126">
        <v>1879</v>
      </c>
      <c r="AC6" s="126">
        <v>98</v>
      </c>
      <c r="AD6" s="126">
        <v>0</v>
      </c>
      <c r="AE6" s="126">
        <v>134</v>
      </c>
      <c r="AF6" s="126">
        <v>0</v>
      </c>
      <c r="AG6" s="126">
        <v>80</v>
      </c>
      <c r="AH6" s="126">
        <v>0</v>
      </c>
      <c r="AI6" s="126">
        <v>0</v>
      </c>
      <c r="AJ6" s="126">
        <v>42</v>
      </c>
      <c r="AK6" s="126">
        <v>178</v>
      </c>
      <c r="AL6" s="126">
        <v>5</v>
      </c>
      <c r="AM6" s="126">
        <v>1</v>
      </c>
      <c r="AN6" s="126">
        <v>357</v>
      </c>
      <c r="AO6" s="126">
        <v>0</v>
      </c>
      <c r="AP6" s="126">
        <v>0</v>
      </c>
      <c r="AQ6" s="126">
        <v>104</v>
      </c>
      <c r="AR6" s="126">
        <v>0</v>
      </c>
      <c r="AS6" s="126">
        <f>86+152</f>
        <v>238</v>
      </c>
      <c r="AT6" s="126">
        <v>4</v>
      </c>
      <c r="AU6" s="126">
        <v>9</v>
      </c>
      <c r="AV6" s="126">
        <v>17</v>
      </c>
      <c r="AW6" s="126">
        <v>353</v>
      </c>
      <c r="AX6" s="126">
        <v>0</v>
      </c>
      <c r="AY6" s="126">
        <v>527</v>
      </c>
      <c r="AZ6" s="126"/>
    </row>
    <row r="7" spans="1:52" x14ac:dyDescent="0.2">
      <c r="A7" s="25" t="s">
        <v>44</v>
      </c>
      <c r="B7" s="126">
        <v>68</v>
      </c>
      <c r="C7" s="126">
        <v>119</v>
      </c>
      <c r="D7" s="126"/>
      <c r="E7" s="126">
        <v>22</v>
      </c>
      <c r="F7" s="126">
        <v>323</v>
      </c>
      <c r="G7" s="126">
        <v>37</v>
      </c>
      <c r="H7" s="126">
        <v>233</v>
      </c>
      <c r="I7" s="126">
        <v>488</v>
      </c>
      <c r="J7" s="126"/>
      <c r="K7" s="126">
        <v>171</v>
      </c>
      <c r="L7" s="126">
        <v>8</v>
      </c>
      <c r="M7" s="126">
        <v>96</v>
      </c>
      <c r="N7" s="126">
        <v>27</v>
      </c>
      <c r="O7" s="126">
        <v>110</v>
      </c>
      <c r="P7" s="126">
        <v>96</v>
      </c>
      <c r="Q7" s="126">
        <v>328</v>
      </c>
      <c r="R7" s="126">
        <v>95</v>
      </c>
      <c r="S7" s="126">
        <v>394</v>
      </c>
      <c r="T7" s="126"/>
      <c r="U7" s="126">
        <v>16</v>
      </c>
      <c r="V7" s="126">
        <v>185</v>
      </c>
      <c r="W7" s="126">
        <v>91</v>
      </c>
      <c r="X7" s="127">
        <v>0</v>
      </c>
      <c r="Y7" s="126">
        <v>735</v>
      </c>
      <c r="Z7" s="126">
        <v>159</v>
      </c>
      <c r="AA7" s="126">
        <v>1560</v>
      </c>
      <c r="AB7" s="126">
        <v>798</v>
      </c>
      <c r="AC7" s="126">
        <v>32</v>
      </c>
      <c r="AD7" s="126">
        <v>0</v>
      </c>
      <c r="AE7" s="126">
        <v>92</v>
      </c>
      <c r="AF7" s="126">
        <v>0</v>
      </c>
      <c r="AG7" s="126">
        <v>13</v>
      </c>
      <c r="AH7" s="126">
        <v>0</v>
      </c>
      <c r="AI7" s="126">
        <v>0</v>
      </c>
      <c r="AJ7" s="126">
        <v>0</v>
      </c>
      <c r="AK7" s="126">
        <v>52</v>
      </c>
      <c r="AL7" s="126">
        <v>0</v>
      </c>
      <c r="AM7" s="126">
        <v>0</v>
      </c>
      <c r="AN7" s="126">
        <v>0</v>
      </c>
      <c r="AO7" s="126">
        <v>0</v>
      </c>
      <c r="AP7" s="126">
        <v>0</v>
      </c>
      <c r="AQ7" s="126">
        <v>4</v>
      </c>
      <c r="AR7" s="126">
        <v>0</v>
      </c>
      <c r="AS7" s="126">
        <f>49+5</f>
        <v>54</v>
      </c>
      <c r="AT7" s="126">
        <v>5</v>
      </c>
      <c r="AU7" s="126">
        <v>12</v>
      </c>
      <c r="AV7" s="126">
        <v>1</v>
      </c>
      <c r="AW7" s="126">
        <v>118</v>
      </c>
      <c r="AX7" s="126">
        <v>0</v>
      </c>
      <c r="AY7" s="126">
        <v>216</v>
      </c>
      <c r="AZ7" s="126"/>
    </row>
    <row r="8" spans="1:52" x14ac:dyDescent="0.2">
      <c r="A8" s="25" t="s">
        <v>45</v>
      </c>
      <c r="B8" s="126">
        <v>57</v>
      </c>
      <c r="C8" s="126">
        <v>12</v>
      </c>
      <c r="D8" s="126"/>
      <c r="E8" s="126">
        <v>25</v>
      </c>
      <c r="F8" s="126">
        <v>13</v>
      </c>
      <c r="G8" s="126">
        <v>0</v>
      </c>
      <c r="H8" s="126">
        <v>18</v>
      </c>
      <c r="I8" s="126">
        <v>14</v>
      </c>
      <c r="J8" s="126"/>
      <c r="K8" s="126">
        <v>12</v>
      </c>
      <c r="L8" s="126">
        <v>8</v>
      </c>
      <c r="M8" s="126">
        <v>10</v>
      </c>
      <c r="N8" s="126">
        <v>7</v>
      </c>
      <c r="O8" s="126">
        <v>20</v>
      </c>
      <c r="P8" s="126">
        <v>43</v>
      </c>
      <c r="Q8" s="126">
        <v>74</v>
      </c>
      <c r="R8" s="126">
        <v>4</v>
      </c>
      <c r="S8" s="126">
        <v>44</v>
      </c>
      <c r="T8" s="126"/>
      <c r="U8" s="126">
        <v>19</v>
      </c>
      <c r="V8" s="126">
        <v>26</v>
      </c>
      <c r="W8" s="126">
        <v>16</v>
      </c>
      <c r="X8" s="127">
        <v>1</v>
      </c>
      <c r="Y8" s="126">
        <v>81</v>
      </c>
      <c r="Z8" s="126">
        <v>1</v>
      </c>
      <c r="AA8" s="126">
        <v>470</v>
      </c>
      <c r="AB8" s="126">
        <v>242</v>
      </c>
      <c r="AC8" s="126">
        <v>0</v>
      </c>
      <c r="AD8" s="126">
        <v>0</v>
      </c>
      <c r="AE8" s="126">
        <v>34</v>
      </c>
      <c r="AF8" s="126">
        <v>0</v>
      </c>
      <c r="AG8" s="126">
        <v>0</v>
      </c>
      <c r="AH8" s="126">
        <v>0</v>
      </c>
      <c r="AI8" s="126">
        <v>0</v>
      </c>
      <c r="AJ8" s="126">
        <v>0</v>
      </c>
      <c r="AK8" s="126">
        <v>0</v>
      </c>
      <c r="AL8" s="126">
        <v>0</v>
      </c>
      <c r="AM8" s="126">
        <v>1</v>
      </c>
      <c r="AN8" s="126">
        <v>0</v>
      </c>
      <c r="AO8" s="126">
        <v>0</v>
      </c>
      <c r="AP8" s="126">
        <v>5</v>
      </c>
      <c r="AQ8" s="126">
        <v>1</v>
      </c>
      <c r="AR8" s="126">
        <v>0</v>
      </c>
      <c r="AS8" s="126">
        <v>0</v>
      </c>
      <c r="AT8" s="126">
        <v>0</v>
      </c>
      <c r="AU8" s="126">
        <v>6</v>
      </c>
      <c r="AV8" s="126">
        <v>1</v>
      </c>
      <c r="AW8" s="126">
        <v>5</v>
      </c>
      <c r="AX8" s="126">
        <v>0</v>
      </c>
      <c r="AY8" s="126">
        <v>4</v>
      </c>
      <c r="AZ8" s="126"/>
    </row>
    <row r="9" spans="1:52" x14ac:dyDescent="0.2">
      <c r="A9" s="25" t="s">
        <v>46</v>
      </c>
      <c r="B9" s="126">
        <v>11</v>
      </c>
      <c r="C9" s="126">
        <v>4</v>
      </c>
      <c r="D9" s="126"/>
      <c r="E9" s="126">
        <v>28</v>
      </c>
      <c r="F9" s="126">
        <v>16</v>
      </c>
      <c r="G9" s="126">
        <v>0</v>
      </c>
      <c r="H9" s="126">
        <v>107</v>
      </c>
      <c r="I9" s="126">
        <v>82</v>
      </c>
      <c r="J9" s="126"/>
      <c r="K9" s="126">
        <v>0</v>
      </c>
      <c r="L9" s="126">
        <v>6</v>
      </c>
      <c r="M9" s="126">
        <v>11</v>
      </c>
      <c r="N9" s="126">
        <v>6</v>
      </c>
      <c r="O9" s="126">
        <v>19</v>
      </c>
      <c r="P9" s="126">
        <v>0</v>
      </c>
      <c r="Q9" s="126">
        <v>11</v>
      </c>
      <c r="R9" s="126">
        <v>4</v>
      </c>
      <c r="S9" s="126">
        <v>5</v>
      </c>
      <c r="T9" s="126"/>
      <c r="U9" s="126">
        <v>16</v>
      </c>
      <c r="V9" s="126">
        <v>6</v>
      </c>
      <c r="W9" s="126">
        <v>11</v>
      </c>
      <c r="X9" s="127">
        <v>0</v>
      </c>
      <c r="Y9" s="126">
        <v>46</v>
      </c>
      <c r="Z9" s="126">
        <v>1</v>
      </c>
      <c r="AA9" s="126">
        <v>280</v>
      </c>
      <c r="AB9" s="126">
        <v>171</v>
      </c>
      <c r="AC9" s="126">
        <v>0</v>
      </c>
      <c r="AD9" s="126">
        <v>1</v>
      </c>
      <c r="AE9" s="126">
        <v>29</v>
      </c>
      <c r="AF9" s="126">
        <v>0</v>
      </c>
      <c r="AG9" s="126">
        <v>0</v>
      </c>
      <c r="AH9" s="126">
        <v>0</v>
      </c>
      <c r="AI9" s="126">
        <v>0</v>
      </c>
      <c r="AJ9" s="126">
        <v>0</v>
      </c>
      <c r="AK9" s="126">
        <v>0</v>
      </c>
      <c r="AL9" s="126">
        <v>3</v>
      </c>
      <c r="AM9" s="126">
        <v>0</v>
      </c>
      <c r="AN9" s="126">
        <v>0</v>
      </c>
      <c r="AO9" s="126">
        <v>0</v>
      </c>
      <c r="AP9" s="126">
        <v>0</v>
      </c>
      <c r="AQ9" s="126">
        <v>0</v>
      </c>
      <c r="AR9" s="126">
        <v>0</v>
      </c>
      <c r="AS9" s="126">
        <v>0</v>
      </c>
      <c r="AT9" s="126">
        <v>0</v>
      </c>
      <c r="AU9" s="126">
        <v>0</v>
      </c>
      <c r="AV9" s="126">
        <v>1</v>
      </c>
      <c r="AW9" s="126">
        <v>1</v>
      </c>
      <c r="AX9" s="126">
        <v>10</v>
      </c>
      <c r="AY9" s="126">
        <v>4</v>
      </c>
      <c r="AZ9" s="126"/>
    </row>
    <row r="10" spans="1:52" x14ac:dyDescent="0.2">
      <c r="A10" s="25" t="s">
        <v>47</v>
      </c>
      <c r="B10" s="126">
        <v>7</v>
      </c>
      <c r="C10" s="126">
        <v>0</v>
      </c>
      <c r="D10" s="126"/>
      <c r="E10" s="126">
        <v>24</v>
      </c>
      <c r="F10" s="126">
        <v>14</v>
      </c>
      <c r="G10" s="126">
        <v>0</v>
      </c>
      <c r="H10" s="126">
        <v>7</v>
      </c>
      <c r="I10" s="126">
        <v>13</v>
      </c>
      <c r="J10" s="126"/>
      <c r="K10" s="126">
        <v>0</v>
      </c>
      <c r="L10" s="126">
        <v>4</v>
      </c>
      <c r="M10" s="126">
        <v>10</v>
      </c>
      <c r="N10" s="126">
        <v>6</v>
      </c>
      <c r="O10" s="126">
        <v>18</v>
      </c>
      <c r="P10" s="126">
        <v>56</v>
      </c>
      <c r="Q10" s="126">
        <v>0</v>
      </c>
      <c r="R10" s="126">
        <v>2</v>
      </c>
      <c r="S10" s="126">
        <v>1</v>
      </c>
      <c r="T10" s="126"/>
      <c r="U10" s="126">
        <v>11</v>
      </c>
      <c r="V10" s="126">
        <v>6</v>
      </c>
      <c r="W10" s="126">
        <v>6</v>
      </c>
      <c r="X10" s="127">
        <v>0</v>
      </c>
      <c r="Y10" s="126">
        <v>42</v>
      </c>
      <c r="Z10" s="126">
        <v>0</v>
      </c>
      <c r="AA10" s="126">
        <v>190</v>
      </c>
      <c r="AB10" s="126">
        <v>148</v>
      </c>
      <c r="AC10" s="126">
        <v>25</v>
      </c>
      <c r="AD10" s="126">
        <v>16</v>
      </c>
      <c r="AE10" s="126">
        <v>26</v>
      </c>
      <c r="AF10" s="126">
        <v>10</v>
      </c>
      <c r="AG10" s="126">
        <v>0</v>
      </c>
      <c r="AH10" s="126">
        <v>41</v>
      </c>
      <c r="AI10" s="126">
        <v>12</v>
      </c>
      <c r="AJ10" s="126">
        <v>0</v>
      </c>
      <c r="AK10" s="126">
        <v>0</v>
      </c>
      <c r="AL10" s="126">
        <v>0</v>
      </c>
      <c r="AM10" s="126">
        <v>3</v>
      </c>
      <c r="AN10" s="126">
        <v>624</v>
      </c>
      <c r="AO10" s="126">
        <v>0</v>
      </c>
      <c r="AP10" s="126">
        <v>0</v>
      </c>
      <c r="AQ10" s="126">
        <v>96</v>
      </c>
      <c r="AR10" s="126">
        <v>1</v>
      </c>
      <c r="AS10" s="126">
        <v>0</v>
      </c>
      <c r="AT10" s="126">
        <v>0</v>
      </c>
      <c r="AU10" s="126">
        <v>0</v>
      </c>
      <c r="AV10" s="126">
        <v>0</v>
      </c>
      <c r="AW10" s="126">
        <v>0</v>
      </c>
      <c r="AX10" s="126">
        <v>0</v>
      </c>
      <c r="AY10" s="126">
        <v>0</v>
      </c>
      <c r="AZ10" s="126"/>
    </row>
    <row r="11" spans="1:52" x14ac:dyDescent="0.2">
      <c r="A11" s="25" t="s">
        <v>48</v>
      </c>
      <c r="B11" s="126">
        <v>8</v>
      </c>
      <c r="C11" s="126">
        <v>0</v>
      </c>
      <c r="D11" s="126"/>
      <c r="E11" s="126">
        <v>25</v>
      </c>
      <c r="F11" s="126">
        <v>14</v>
      </c>
      <c r="G11" s="126">
        <v>0</v>
      </c>
      <c r="H11" s="126">
        <v>1008</v>
      </c>
      <c r="I11" s="126">
        <v>13</v>
      </c>
      <c r="J11" s="126"/>
      <c r="K11" s="126">
        <v>0</v>
      </c>
      <c r="L11" s="126">
        <v>5</v>
      </c>
      <c r="M11" s="126">
        <v>10</v>
      </c>
      <c r="N11" s="126">
        <v>8</v>
      </c>
      <c r="O11" s="126">
        <v>21</v>
      </c>
      <c r="P11" s="126">
        <v>25</v>
      </c>
      <c r="Q11" s="126">
        <v>0</v>
      </c>
      <c r="R11" s="126">
        <v>5</v>
      </c>
      <c r="S11" s="126">
        <v>0</v>
      </c>
      <c r="T11" s="126"/>
      <c r="U11" s="126">
        <v>14</v>
      </c>
      <c r="V11" s="126">
        <v>7</v>
      </c>
      <c r="W11" s="126">
        <v>7</v>
      </c>
      <c r="X11" s="127">
        <v>0</v>
      </c>
      <c r="Y11" s="126">
        <v>46</v>
      </c>
      <c r="Z11" s="126">
        <v>1</v>
      </c>
      <c r="AA11" s="126">
        <v>235</v>
      </c>
      <c r="AB11" s="126">
        <v>177</v>
      </c>
      <c r="AC11" s="126">
        <v>31112</v>
      </c>
      <c r="AD11" s="126">
        <v>37915</v>
      </c>
      <c r="AE11" s="126">
        <v>38</v>
      </c>
      <c r="AF11" s="126">
        <v>19267</v>
      </c>
      <c r="AG11" s="126">
        <v>12363</v>
      </c>
      <c r="AH11" s="126">
        <v>17558</v>
      </c>
      <c r="AI11" s="126">
        <v>23038</v>
      </c>
      <c r="AJ11" s="126">
        <v>24558</v>
      </c>
      <c r="AK11" s="126">
        <v>0</v>
      </c>
      <c r="AL11" s="126">
        <v>61261</v>
      </c>
      <c r="AM11" s="126">
        <v>78465</v>
      </c>
      <c r="AN11" s="126">
        <v>45713</v>
      </c>
      <c r="AO11" s="126">
        <v>39909</v>
      </c>
      <c r="AP11" s="126">
        <v>22050</v>
      </c>
      <c r="AQ11" s="126">
        <v>21117</v>
      </c>
      <c r="AR11" s="126">
        <v>13081</v>
      </c>
      <c r="AS11" s="126">
        <f>14622+37963</f>
        <v>52585</v>
      </c>
      <c r="AT11" s="126">
        <v>13420</v>
      </c>
      <c r="AU11" s="126">
        <v>0</v>
      </c>
      <c r="AV11" s="126">
        <v>1</v>
      </c>
      <c r="AW11" s="126">
        <v>1</v>
      </c>
      <c r="AX11" s="126">
        <v>2335</v>
      </c>
      <c r="AY11" s="126">
        <v>0</v>
      </c>
      <c r="AZ11" s="126"/>
    </row>
    <row r="12" spans="1:52" x14ac:dyDescent="0.2">
      <c r="A12" s="25" t="s">
        <v>49</v>
      </c>
      <c r="B12" s="126">
        <v>7</v>
      </c>
      <c r="C12" s="126">
        <v>13</v>
      </c>
      <c r="D12" s="126"/>
      <c r="E12" s="126">
        <v>30</v>
      </c>
      <c r="F12" s="126">
        <v>15</v>
      </c>
      <c r="G12" s="126">
        <v>0</v>
      </c>
      <c r="H12" s="126">
        <v>8</v>
      </c>
      <c r="I12" s="126">
        <v>13</v>
      </c>
      <c r="J12" s="126"/>
      <c r="K12" s="126">
        <v>0</v>
      </c>
      <c r="L12" s="126">
        <v>4</v>
      </c>
      <c r="M12" s="126">
        <v>11</v>
      </c>
      <c r="N12" s="126">
        <v>6</v>
      </c>
      <c r="O12" s="126">
        <v>18</v>
      </c>
      <c r="P12" s="126">
        <v>20</v>
      </c>
      <c r="Q12" s="126">
        <v>0</v>
      </c>
      <c r="R12" s="126">
        <v>3</v>
      </c>
      <c r="S12" s="126">
        <v>113</v>
      </c>
      <c r="T12" s="126"/>
      <c r="U12" s="126">
        <v>11</v>
      </c>
      <c r="V12" s="126">
        <v>6</v>
      </c>
      <c r="W12" s="126">
        <v>6</v>
      </c>
      <c r="X12" s="127">
        <v>0</v>
      </c>
      <c r="Y12" s="126">
        <v>36</v>
      </c>
      <c r="Z12" s="126">
        <v>0</v>
      </c>
      <c r="AA12" s="126">
        <v>192</v>
      </c>
      <c r="AB12" s="126">
        <v>0</v>
      </c>
      <c r="AC12" s="126">
        <v>20598</v>
      </c>
      <c r="AD12" s="126">
        <v>43765</v>
      </c>
      <c r="AE12" s="126">
        <v>55</v>
      </c>
      <c r="AF12" s="126">
        <v>52113</v>
      </c>
      <c r="AG12" s="126">
        <v>46290</v>
      </c>
      <c r="AH12" s="126">
        <v>96729</v>
      </c>
      <c r="AI12" s="126">
        <v>47219</v>
      </c>
      <c r="AJ12" s="126">
        <v>19781</v>
      </c>
      <c r="AK12" s="126">
        <v>0</v>
      </c>
      <c r="AL12" s="126">
        <v>82595</v>
      </c>
      <c r="AM12" s="126">
        <v>168272</v>
      </c>
      <c r="AN12" s="126">
        <v>75129</v>
      </c>
      <c r="AO12" s="126">
        <v>126433</v>
      </c>
      <c r="AP12" s="126">
        <v>98401</v>
      </c>
      <c r="AQ12" s="126">
        <v>57648</v>
      </c>
      <c r="AR12" s="126">
        <v>62324</v>
      </c>
      <c r="AS12" s="126">
        <f>49423+114373</f>
        <v>163796</v>
      </c>
      <c r="AT12" s="126">
        <v>41486</v>
      </c>
      <c r="AU12" s="126">
        <v>0</v>
      </c>
      <c r="AV12" s="126">
        <v>15</v>
      </c>
      <c r="AW12" s="126">
        <v>1</v>
      </c>
      <c r="AX12" s="126">
        <f>18512+6297</f>
        <v>24809</v>
      </c>
      <c r="AY12" s="126">
        <v>0</v>
      </c>
      <c r="AZ12" s="126"/>
    </row>
    <row r="13" spans="1:52" x14ac:dyDescent="0.2">
      <c r="A13" s="25" t="s">
        <v>50</v>
      </c>
      <c r="B13" s="126">
        <v>7</v>
      </c>
      <c r="C13" s="126">
        <v>40</v>
      </c>
      <c r="D13" s="126"/>
      <c r="E13" s="126">
        <v>31</v>
      </c>
      <c r="F13" s="126">
        <v>15</v>
      </c>
      <c r="G13" s="126">
        <v>0</v>
      </c>
      <c r="H13" s="126">
        <v>5</v>
      </c>
      <c r="I13" s="126">
        <v>13</v>
      </c>
      <c r="J13" s="126"/>
      <c r="K13" s="126">
        <v>0</v>
      </c>
      <c r="L13" s="126">
        <v>5</v>
      </c>
      <c r="M13" s="126">
        <v>10</v>
      </c>
      <c r="N13" s="126">
        <v>7</v>
      </c>
      <c r="O13" s="126">
        <v>25</v>
      </c>
      <c r="P13" s="126">
        <v>21</v>
      </c>
      <c r="Q13" s="126">
        <v>0</v>
      </c>
      <c r="R13" s="126">
        <v>4</v>
      </c>
      <c r="S13" s="126">
        <v>279</v>
      </c>
      <c r="T13" s="126"/>
      <c r="U13" s="126">
        <v>16</v>
      </c>
      <c r="V13" s="126">
        <v>7</v>
      </c>
      <c r="W13" s="126">
        <v>7</v>
      </c>
      <c r="X13" s="127">
        <v>515</v>
      </c>
      <c r="Y13" s="126">
        <v>48</v>
      </c>
      <c r="Z13" s="126">
        <v>1</v>
      </c>
      <c r="AA13" s="126">
        <v>308</v>
      </c>
      <c r="AB13" s="126">
        <v>215</v>
      </c>
      <c r="AC13" s="126">
        <v>139</v>
      </c>
      <c r="AD13" s="126">
        <v>1508</v>
      </c>
      <c r="AE13" s="126">
        <v>95</v>
      </c>
      <c r="AF13" s="126">
        <v>10946</v>
      </c>
      <c r="AG13" s="126">
        <v>3025</v>
      </c>
      <c r="AH13" s="126">
        <v>29897</v>
      </c>
      <c r="AI13" s="126">
        <v>83718</v>
      </c>
      <c r="AJ13" s="126">
        <v>3114</v>
      </c>
      <c r="AK13" s="126">
        <v>0</v>
      </c>
      <c r="AL13" s="126">
        <v>3163</v>
      </c>
      <c r="AM13" s="126">
        <v>3341</v>
      </c>
      <c r="AN13" s="126">
        <v>8979</v>
      </c>
      <c r="AO13" s="126">
        <v>11349</v>
      </c>
      <c r="AP13" s="126">
        <v>10316</v>
      </c>
      <c r="AQ13" s="126">
        <v>1000</v>
      </c>
      <c r="AR13" s="126">
        <v>0</v>
      </c>
      <c r="AS13" s="126">
        <f>135+19435</f>
        <v>19570</v>
      </c>
      <c r="AT13" s="126">
        <v>5034</v>
      </c>
      <c r="AU13" s="126">
        <v>0</v>
      </c>
      <c r="AV13" s="126">
        <v>28</v>
      </c>
      <c r="AW13" s="126">
        <v>1</v>
      </c>
      <c r="AX13" s="126">
        <v>10397</v>
      </c>
      <c r="AY13" s="126">
        <v>0</v>
      </c>
      <c r="AZ13" s="126"/>
    </row>
    <row r="14" spans="1:52" x14ac:dyDescent="0.2">
      <c r="A14" s="25" t="s">
        <v>51</v>
      </c>
      <c r="B14" s="126">
        <v>11</v>
      </c>
      <c r="C14" s="126">
        <v>18</v>
      </c>
      <c r="D14" s="126"/>
      <c r="E14" s="126">
        <v>34</v>
      </c>
      <c r="F14" s="126">
        <v>15</v>
      </c>
      <c r="G14" s="126">
        <v>0</v>
      </c>
      <c r="H14" s="126">
        <v>22</v>
      </c>
      <c r="I14" s="126">
        <v>15</v>
      </c>
      <c r="J14" s="126"/>
      <c r="K14" s="126">
        <v>7</v>
      </c>
      <c r="L14" s="126">
        <v>6</v>
      </c>
      <c r="M14" s="126">
        <v>10</v>
      </c>
      <c r="N14" s="127">
        <v>7</v>
      </c>
      <c r="O14" s="127">
        <v>53</v>
      </c>
      <c r="P14" s="127">
        <v>52</v>
      </c>
      <c r="Q14" s="127">
        <v>156</v>
      </c>
      <c r="R14" s="127">
        <v>107</v>
      </c>
      <c r="S14" s="127">
        <v>234</v>
      </c>
      <c r="T14" s="126"/>
      <c r="U14" s="127">
        <v>16</v>
      </c>
      <c r="V14" s="127">
        <v>16</v>
      </c>
      <c r="W14" s="127">
        <v>11</v>
      </c>
      <c r="X14" s="127">
        <v>0</v>
      </c>
      <c r="Y14" s="127">
        <v>0</v>
      </c>
      <c r="Z14" s="127">
        <v>28</v>
      </c>
      <c r="AA14" s="127">
        <v>1412</v>
      </c>
      <c r="AB14" s="127">
        <v>622</v>
      </c>
      <c r="AC14" s="126">
        <v>59</v>
      </c>
      <c r="AD14" s="126">
        <v>0</v>
      </c>
      <c r="AE14" s="126">
        <v>144</v>
      </c>
      <c r="AF14" s="126">
        <v>688</v>
      </c>
      <c r="AG14" s="126">
        <v>42</v>
      </c>
      <c r="AH14" s="126">
        <v>4028</v>
      </c>
      <c r="AI14" s="126">
        <v>19</v>
      </c>
      <c r="AJ14" s="126">
        <v>75</v>
      </c>
      <c r="AK14" s="126">
        <v>0</v>
      </c>
      <c r="AL14" s="126">
        <v>822</v>
      </c>
      <c r="AM14" s="126">
        <v>546</v>
      </c>
      <c r="AN14" s="126">
        <v>1460</v>
      </c>
      <c r="AO14" s="126">
        <v>4</v>
      </c>
      <c r="AP14" s="126">
        <v>513</v>
      </c>
      <c r="AQ14" s="126">
        <v>57</v>
      </c>
      <c r="AR14" s="126">
        <v>0</v>
      </c>
      <c r="AS14" s="126">
        <f>60+1886</f>
        <v>1946</v>
      </c>
      <c r="AT14" s="126">
        <v>334</v>
      </c>
      <c r="AU14" s="126">
        <v>0</v>
      </c>
      <c r="AV14" s="127">
        <v>22</v>
      </c>
      <c r="AW14" s="126">
        <v>0</v>
      </c>
      <c r="AX14" s="126">
        <v>2951</v>
      </c>
      <c r="AY14" s="126">
        <v>7</v>
      </c>
      <c r="AZ14" s="126"/>
    </row>
    <row r="15" spans="1:52" x14ac:dyDescent="0.2">
      <c r="A15" s="25" t="s">
        <v>52</v>
      </c>
      <c r="B15" s="126">
        <v>75</v>
      </c>
      <c r="C15" s="126">
        <v>7</v>
      </c>
      <c r="D15" s="126"/>
      <c r="E15" s="126">
        <v>60</v>
      </c>
      <c r="F15" s="126">
        <v>75</v>
      </c>
      <c r="G15" s="126">
        <v>0</v>
      </c>
      <c r="H15" s="126">
        <v>216</v>
      </c>
      <c r="I15" s="126">
        <v>48</v>
      </c>
      <c r="J15" s="126"/>
      <c r="K15" s="126">
        <v>129</v>
      </c>
      <c r="L15" s="126">
        <v>7</v>
      </c>
      <c r="M15" s="126">
        <v>55</v>
      </c>
      <c r="N15" s="127">
        <v>6</v>
      </c>
      <c r="O15" s="127">
        <v>73</v>
      </c>
      <c r="P15" s="127">
        <v>70</v>
      </c>
      <c r="Q15" s="127">
        <v>244</v>
      </c>
      <c r="R15" s="127">
        <v>135</v>
      </c>
      <c r="S15" s="127">
        <v>445</v>
      </c>
      <c r="T15" s="126"/>
      <c r="U15" s="127">
        <v>16</v>
      </c>
      <c r="V15" s="127">
        <v>187</v>
      </c>
      <c r="W15" s="127">
        <v>75</v>
      </c>
      <c r="X15" s="127">
        <v>0</v>
      </c>
      <c r="Y15" s="127">
        <v>961</v>
      </c>
      <c r="Z15" s="127">
        <v>95</v>
      </c>
      <c r="AA15" s="127">
        <v>1364</v>
      </c>
      <c r="AB15" s="127">
        <v>0</v>
      </c>
      <c r="AC15" s="126">
        <v>61</v>
      </c>
      <c r="AD15" s="126">
        <v>1008</v>
      </c>
      <c r="AE15" s="126">
        <v>203</v>
      </c>
      <c r="AF15" s="126">
        <v>0</v>
      </c>
      <c r="AG15" s="126">
        <v>5</v>
      </c>
      <c r="AH15" s="126">
        <v>83</v>
      </c>
      <c r="AI15" s="126">
        <v>145</v>
      </c>
      <c r="AJ15" s="126">
        <v>0</v>
      </c>
      <c r="AK15" s="126">
        <v>48</v>
      </c>
      <c r="AL15" s="126">
        <v>237</v>
      </c>
      <c r="AM15" s="126">
        <v>453</v>
      </c>
      <c r="AN15" s="126">
        <v>453</v>
      </c>
      <c r="AO15" s="126">
        <v>266</v>
      </c>
      <c r="AP15" s="126">
        <v>5</v>
      </c>
      <c r="AQ15" s="126">
        <v>169</v>
      </c>
      <c r="AR15" s="126">
        <v>0</v>
      </c>
      <c r="AS15" s="126">
        <f>405+467</f>
        <v>872</v>
      </c>
      <c r="AT15" s="126">
        <v>0</v>
      </c>
      <c r="AU15" s="126">
        <v>0</v>
      </c>
      <c r="AV15" s="127">
        <v>9</v>
      </c>
      <c r="AW15" s="127">
        <v>31</v>
      </c>
      <c r="AX15" s="126">
        <v>1508</v>
      </c>
      <c r="AY15" s="126">
        <v>93</v>
      </c>
      <c r="AZ15" s="126"/>
    </row>
    <row r="16" spans="1:52" s="98" customFormat="1" ht="13.5" thickBot="1" x14ac:dyDescent="0.25">
      <c r="A16" s="92" t="s">
        <v>58</v>
      </c>
      <c r="B16" s="128">
        <f>SUM(B4:B15)/10</f>
        <v>80.5</v>
      </c>
      <c r="C16" s="128">
        <f t="shared" ref="C16:AY16" si="0">SUM(C4:C15)/10</f>
        <v>53.6</v>
      </c>
      <c r="D16" s="128">
        <f t="shared" si="0"/>
        <v>0</v>
      </c>
      <c r="E16" s="128">
        <f t="shared" si="0"/>
        <v>35.4</v>
      </c>
      <c r="F16" s="128">
        <f t="shared" si="0"/>
        <v>197</v>
      </c>
      <c r="G16" s="128">
        <f t="shared" si="0"/>
        <v>28.1</v>
      </c>
      <c r="H16" s="128">
        <f t="shared" si="0"/>
        <v>339.9</v>
      </c>
      <c r="I16" s="128">
        <f t="shared" si="0"/>
        <v>412.7</v>
      </c>
      <c r="J16" s="128">
        <f t="shared" si="0"/>
        <v>0</v>
      </c>
      <c r="K16" s="128">
        <f t="shared" si="0"/>
        <v>131.80000000000001</v>
      </c>
      <c r="L16" s="128">
        <f t="shared" si="0"/>
        <v>8.1</v>
      </c>
      <c r="M16" s="128">
        <f t="shared" si="0"/>
        <v>175</v>
      </c>
      <c r="N16" s="128">
        <f t="shared" si="0"/>
        <v>52.6</v>
      </c>
      <c r="O16" s="128">
        <f t="shared" si="0"/>
        <v>126.6</v>
      </c>
      <c r="P16" s="128">
        <f t="shared" si="0"/>
        <v>92.2</v>
      </c>
      <c r="Q16" s="128">
        <f t="shared" si="0"/>
        <v>322.60000000000002</v>
      </c>
      <c r="R16" s="128">
        <f t="shared" si="0"/>
        <v>101.2</v>
      </c>
      <c r="S16" s="128">
        <f t="shared" si="0"/>
        <v>519.79999999999995</v>
      </c>
      <c r="T16" s="128">
        <f t="shared" si="0"/>
        <v>0</v>
      </c>
      <c r="U16" s="128">
        <f t="shared" si="0"/>
        <v>19.399999999999999</v>
      </c>
      <c r="V16" s="128">
        <f t="shared" si="0"/>
        <v>208.4</v>
      </c>
      <c r="W16" s="128">
        <f t="shared" si="0"/>
        <v>80.099999999999994</v>
      </c>
      <c r="X16" s="128">
        <f t="shared" si="0"/>
        <v>562.9</v>
      </c>
      <c r="Y16" s="128">
        <f t="shared" si="0"/>
        <v>916.2</v>
      </c>
      <c r="Z16" s="128">
        <f t="shared" si="0"/>
        <v>180.1</v>
      </c>
      <c r="AA16" s="128">
        <f t="shared" si="0"/>
        <v>2069.3000000000002</v>
      </c>
      <c r="AB16" s="128">
        <f t="shared" si="0"/>
        <v>843.9</v>
      </c>
      <c r="AC16" s="128">
        <f t="shared" si="0"/>
        <v>5233.7</v>
      </c>
      <c r="AD16" s="128">
        <f t="shared" si="0"/>
        <v>8421.2999999999993</v>
      </c>
      <c r="AE16" s="128">
        <f t="shared" si="0"/>
        <v>117.9</v>
      </c>
      <c r="AF16" s="128">
        <f t="shared" si="0"/>
        <v>8302.4</v>
      </c>
      <c r="AG16" s="128">
        <f t="shared" si="0"/>
        <v>6198.7</v>
      </c>
      <c r="AH16" s="128">
        <f t="shared" si="0"/>
        <v>14857.6</v>
      </c>
      <c r="AI16" s="128">
        <f t="shared" si="0"/>
        <v>15415.7</v>
      </c>
      <c r="AJ16" s="128">
        <f t="shared" si="0"/>
        <v>4790.8</v>
      </c>
      <c r="AK16" s="128">
        <f t="shared" si="0"/>
        <v>479.3</v>
      </c>
      <c r="AL16" s="128">
        <f t="shared" si="0"/>
        <v>14808.6</v>
      </c>
      <c r="AM16" s="128">
        <f t="shared" si="0"/>
        <v>25697.3</v>
      </c>
      <c r="AN16" s="128">
        <f t="shared" si="0"/>
        <v>13426.7</v>
      </c>
      <c r="AO16" s="128">
        <f t="shared" si="0"/>
        <v>17809.099999999999</v>
      </c>
      <c r="AP16" s="128">
        <f t="shared" si="0"/>
        <v>13143.8</v>
      </c>
      <c r="AQ16" s="128">
        <f t="shared" si="0"/>
        <v>8061.1</v>
      </c>
      <c r="AR16" s="128">
        <f t="shared" si="0"/>
        <v>7540.6</v>
      </c>
      <c r="AS16" s="128">
        <f t="shared" si="0"/>
        <v>24103.1</v>
      </c>
      <c r="AT16" s="128">
        <f t="shared" si="0"/>
        <v>6029.3</v>
      </c>
      <c r="AU16" s="128">
        <f t="shared" si="0"/>
        <v>5.0999999999999996</v>
      </c>
      <c r="AV16" s="128">
        <f t="shared" si="0"/>
        <v>24.1</v>
      </c>
      <c r="AW16" s="128">
        <f t="shared" si="0"/>
        <v>115.7</v>
      </c>
      <c r="AX16" s="128">
        <f t="shared" si="0"/>
        <v>4525.8999999999996</v>
      </c>
      <c r="AY16" s="128">
        <f t="shared" si="0"/>
        <v>200.9</v>
      </c>
      <c r="AZ16" s="129">
        <f>SUM(U16:AY16)</f>
        <v>204189</v>
      </c>
    </row>
    <row r="17" spans="1:52" ht="13.5" thickTop="1" x14ac:dyDescent="0.2">
      <c r="B17" s="28"/>
      <c r="C17" s="29"/>
      <c r="D17" s="29"/>
      <c r="E17" s="25"/>
      <c r="F17" s="6" t="s">
        <v>60</v>
      </c>
      <c r="G17" s="6" t="s">
        <v>60</v>
      </c>
      <c r="AS17" s="6"/>
      <c r="AT17" s="30"/>
    </row>
    <row r="18" spans="1:52" x14ac:dyDescent="0.2">
      <c r="A18" s="26">
        <v>2010</v>
      </c>
      <c r="B18" s="31" t="s">
        <v>53</v>
      </c>
      <c r="C18" s="31" t="s">
        <v>53</v>
      </c>
      <c r="D18" s="31" t="s">
        <v>53</v>
      </c>
      <c r="E18" s="31" t="s">
        <v>53</v>
      </c>
      <c r="F18" s="31" t="s">
        <v>53</v>
      </c>
      <c r="G18" s="31" t="s">
        <v>53</v>
      </c>
      <c r="H18" s="31" t="s">
        <v>53</v>
      </c>
      <c r="I18" s="31" t="s">
        <v>53</v>
      </c>
      <c r="J18" s="31" t="s">
        <v>53</v>
      </c>
      <c r="K18" s="31" t="s">
        <v>53</v>
      </c>
      <c r="L18" s="31" t="s">
        <v>53</v>
      </c>
      <c r="M18" s="31" t="s">
        <v>53</v>
      </c>
      <c r="N18" s="31" t="s">
        <v>53</v>
      </c>
      <c r="O18" s="31" t="s">
        <v>53</v>
      </c>
      <c r="P18" s="31" t="s">
        <v>53</v>
      </c>
      <c r="Q18" s="31" t="s">
        <v>53</v>
      </c>
      <c r="R18" s="31" t="s">
        <v>53</v>
      </c>
      <c r="S18" s="31" t="s">
        <v>53</v>
      </c>
      <c r="T18" s="31" t="s">
        <v>53</v>
      </c>
      <c r="U18" s="31" t="s">
        <v>53</v>
      </c>
      <c r="V18" s="31" t="s">
        <v>53</v>
      </c>
      <c r="W18" s="31" t="s">
        <v>53</v>
      </c>
      <c r="X18" s="31" t="s">
        <v>53</v>
      </c>
      <c r="Y18" s="31" t="s">
        <v>53</v>
      </c>
      <c r="Z18" s="31" t="s">
        <v>53</v>
      </c>
      <c r="AA18" s="31" t="s">
        <v>53</v>
      </c>
      <c r="AB18" s="31" t="s">
        <v>53</v>
      </c>
      <c r="AC18" s="31" t="s">
        <v>53</v>
      </c>
      <c r="AD18" s="31" t="s">
        <v>53</v>
      </c>
      <c r="AE18" s="31" t="s">
        <v>53</v>
      </c>
      <c r="AF18" s="31" t="s">
        <v>53</v>
      </c>
      <c r="AG18" s="31" t="s">
        <v>53</v>
      </c>
      <c r="AH18" s="31" t="s">
        <v>53</v>
      </c>
      <c r="AI18" s="31" t="s">
        <v>53</v>
      </c>
      <c r="AJ18" s="31" t="s">
        <v>53</v>
      </c>
      <c r="AK18" s="31" t="s">
        <v>53</v>
      </c>
      <c r="AL18" s="31" t="s">
        <v>53</v>
      </c>
      <c r="AM18" s="69" t="s">
        <v>53</v>
      </c>
      <c r="AN18" s="31" t="s">
        <v>53</v>
      </c>
      <c r="AO18" s="31" t="s">
        <v>53</v>
      </c>
      <c r="AP18" s="31" t="s">
        <v>53</v>
      </c>
      <c r="AQ18" s="31" t="s">
        <v>53</v>
      </c>
      <c r="AR18" s="31" t="s">
        <v>53</v>
      </c>
      <c r="AS18" s="31" t="s">
        <v>53</v>
      </c>
      <c r="AT18" s="31" t="s">
        <v>53</v>
      </c>
      <c r="AU18" s="31" t="s">
        <v>53</v>
      </c>
      <c r="AV18" s="31" t="s">
        <v>53</v>
      </c>
      <c r="AW18" s="31" t="s">
        <v>53</v>
      </c>
      <c r="AX18" s="31" t="s">
        <v>53</v>
      </c>
      <c r="AY18" s="31" t="s">
        <v>53</v>
      </c>
      <c r="AZ18" s="31"/>
    </row>
    <row r="19" spans="1:52" s="120" customFormat="1" x14ac:dyDescent="0.2">
      <c r="A19" s="106" t="s">
        <v>41</v>
      </c>
      <c r="B19" s="122">
        <v>175.02</v>
      </c>
      <c r="C19" s="122">
        <v>132.88</v>
      </c>
      <c r="D19" s="122"/>
      <c r="E19" s="122">
        <v>28.96</v>
      </c>
      <c r="F19" s="122">
        <v>421.37</v>
      </c>
      <c r="G19" s="122">
        <v>14.68</v>
      </c>
      <c r="H19" s="122">
        <v>477.72</v>
      </c>
      <c r="I19" s="122">
        <v>975.13</v>
      </c>
      <c r="J19" s="122"/>
      <c r="K19" s="122">
        <v>296.20999999999998</v>
      </c>
      <c r="L19" s="122">
        <v>21.41</v>
      </c>
      <c r="M19" s="122">
        <v>481.75</v>
      </c>
      <c r="N19" s="122">
        <v>141.87</v>
      </c>
      <c r="O19" s="122">
        <v>275.92</v>
      </c>
      <c r="P19" s="122">
        <v>189.23</v>
      </c>
      <c r="Q19" s="122">
        <v>619.63</v>
      </c>
      <c r="R19" s="122">
        <v>218.12</v>
      </c>
      <c r="S19" s="122">
        <v>1116.5</v>
      </c>
      <c r="T19" s="122"/>
      <c r="U19" s="122">
        <v>35.18</v>
      </c>
      <c r="V19" s="122">
        <v>519.55999999999995</v>
      </c>
      <c r="W19" s="122">
        <v>188.66</v>
      </c>
      <c r="X19" s="122">
        <v>4340.4799999999996</v>
      </c>
      <c r="Y19" s="122">
        <v>2011.34</v>
      </c>
      <c r="Z19" s="122">
        <v>477.03</v>
      </c>
      <c r="AA19" s="122">
        <v>4346.8100000000004</v>
      </c>
      <c r="AB19" s="122">
        <v>1937.67</v>
      </c>
      <c r="AC19" s="122">
        <v>85.88</v>
      </c>
      <c r="AD19" s="122">
        <v>0</v>
      </c>
      <c r="AE19" s="122">
        <v>133.54</v>
      </c>
      <c r="AF19" s="122">
        <v>0</v>
      </c>
      <c r="AG19" s="122">
        <v>82.52</v>
      </c>
      <c r="AH19" s="122">
        <v>218.36</v>
      </c>
      <c r="AI19" s="122">
        <v>18.13</v>
      </c>
      <c r="AJ19" s="122">
        <v>177.6</v>
      </c>
      <c r="AK19" s="122">
        <v>3681.87</v>
      </c>
      <c r="AL19" s="122">
        <v>0</v>
      </c>
      <c r="AM19" s="122">
        <v>4865.13</v>
      </c>
      <c r="AN19" s="122">
        <v>710.69</v>
      </c>
      <c r="AO19" s="122">
        <v>118.4</v>
      </c>
      <c r="AP19" s="131">
        <v>137.54</v>
      </c>
      <c r="AQ19" s="122">
        <v>201.98</v>
      </c>
      <c r="AR19" s="122">
        <v>0</v>
      </c>
      <c r="AS19" s="122">
        <v>1211.58</v>
      </c>
      <c r="AT19" s="122">
        <v>4.74</v>
      </c>
      <c r="AU19" s="122">
        <v>23.83</v>
      </c>
      <c r="AV19" s="122">
        <v>24.76</v>
      </c>
      <c r="AW19" s="122">
        <v>232.33</v>
      </c>
      <c r="AX19" s="122">
        <v>2602.4</v>
      </c>
      <c r="AY19" s="122">
        <v>506.28</v>
      </c>
      <c r="AZ19" s="124"/>
    </row>
    <row r="20" spans="1:52" s="120" customFormat="1" x14ac:dyDescent="0.2">
      <c r="A20" s="106" t="s">
        <v>42</v>
      </c>
      <c r="B20" s="122">
        <v>188.59</v>
      </c>
      <c r="C20" s="122">
        <v>169.15</v>
      </c>
      <c r="D20" s="122"/>
      <c r="E20" s="122">
        <v>30.07</v>
      </c>
      <c r="F20" s="122">
        <v>467.3</v>
      </c>
      <c r="G20" s="122">
        <v>112.92</v>
      </c>
      <c r="H20" s="122">
        <v>594.27</v>
      </c>
      <c r="I20" s="122">
        <v>1103.83</v>
      </c>
      <c r="J20" s="122"/>
      <c r="K20" s="122">
        <v>330.05</v>
      </c>
      <c r="L20" s="122">
        <v>22.48</v>
      </c>
      <c r="M20" s="122">
        <v>505.33</v>
      </c>
      <c r="N20" s="122">
        <v>139.91</v>
      </c>
      <c r="O20" s="122">
        <v>272.13</v>
      </c>
      <c r="P20" s="122">
        <v>190.78</v>
      </c>
      <c r="Q20" s="122">
        <v>678.38</v>
      </c>
      <c r="R20" s="122">
        <v>174.04</v>
      </c>
      <c r="S20" s="122">
        <v>1097.22</v>
      </c>
      <c r="T20" s="122"/>
      <c r="U20" s="122">
        <v>32.44</v>
      </c>
      <c r="V20" s="122">
        <v>501.74</v>
      </c>
      <c r="W20" s="122">
        <v>180.47</v>
      </c>
      <c r="X20" s="122">
        <v>13.55</v>
      </c>
      <c r="Y20" s="122">
        <v>1554.36</v>
      </c>
      <c r="Z20" s="122">
        <v>434.21</v>
      </c>
      <c r="AA20" s="122">
        <v>4024.58</v>
      </c>
      <c r="AB20" s="122">
        <v>1592.73</v>
      </c>
      <c r="AC20" s="122">
        <v>106.63</v>
      </c>
      <c r="AD20" s="122">
        <v>0</v>
      </c>
      <c r="AE20" s="122">
        <v>184.49</v>
      </c>
      <c r="AF20" s="122">
        <v>0</v>
      </c>
      <c r="AG20" s="122">
        <v>76.53</v>
      </c>
      <c r="AH20" s="122">
        <v>0</v>
      </c>
      <c r="AI20" s="122">
        <v>13</v>
      </c>
      <c r="AJ20" s="122">
        <v>129.75</v>
      </c>
      <c r="AK20" s="122">
        <v>197.25</v>
      </c>
      <c r="AL20" s="122">
        <v>0</v>
      </c>
      <c r="AM20" s="122">
        <v>330.4</v>
      </c>
      <c r="AN20" s="122">
        <v>638.19000000000005</v>
      </c>
      <c r="AO20" s="122">
        <v>0</v>
      </c>
      <c r="AP20" s="131">
        <v>14.68</v>
      </c>
      <c r="AQ20" s="122">
        <v>172.81</v>
      </c>
      <c r="AR20" s="122">
        <v>0</v>
      </c>
      <c r="AS20" s="122">
        <v>689.65</v>
      </c>
      <c r="AT20" s="122">
        <v>4.66</v>
      </c>
      <c r="AU20" s="122">
        <v>24.25</v>
      </c>
      <c r="AV20" s="122">
        <v>145.01</v>
      </c>
      <c r="AW20" s="122">
        <v>365.71</v>
      </c>
      <c r="AX20" s="122">
        <v>186.26</v>
      </c>
      <c r="AY20" s="122">
        <v>656.33</v>
      </c>
      <c r="AZ20" s="124"/>
    </row>
    <row r="21" spans="1:52" s="120" customFormat="1" x14ac:dyDescent="0.2">
      <c r="A21" s="106" t="s">
        <v>43</v>
      </c>
      <c r="B21" s="122">
        <v>145.38999999999999</v>
      </c>
      <c r="C21" s="122">
        <v>21.25</v>
      </c>
      <c r="D21" s="122"/>
      <c r="E21" s="122">
        <v>43.61</v>
      </c>
      <c r="F21" s="122">
        <v>397.47</v>
      </c>
      <c r="G21" s="122">
        <v>119.32</v>
      </c>
      <c r="H21" s="122">
        <v>531.21</v>
      </c>
      <c r="I21" s="122">
        <v>978.71</v>
      </c>
      <c r="J21" s="122"/>
      <c r="K21" s="122">
        <v>259.67</v>
      </c>
      <c r="L21" s="122">
        <v>21.45</v>
      </c>
      <c r="M21" s="122">
        <v>402.83</v>
      </c>
      <c r="N21" s="122">
        <v>134.88999999999999</v>
      </c>
      <c r="O21" s="122">
        <v>258.61</v>
      </c>
      <c r="P21" s="122">
        <v>173.78</v>
      </c>
      <c r="Q21" s="122">
        <v>772.9</v>
      </c>
      <c r="R21" s="122">
        <v>198.42</v>
      </c>
      <c r="S21" s="122">
        <v>928.39</v>
      </c>
      <c r="T21" s="122"/>
      <c r="U21" s="122">
        <v>30.55</v>
      </c>
      <c r="V21" s="122">
        <v>459.76</v>
      </c>
      <c r="W21" s="122">
        <v>154.29</v>
      </c>
      <c r="X21" s="122">
        <v>13.55</v>
      </c>
      <c r="Y21" s="122">
        <v>1612.79</v>
      </c>
      <c r="Z21" s="122">
        <v>405.74</v>
      </c>
      <c r="AA21" s="122">
        <v>3659.79</v>
      </c>
      <c r="AB21" s="122">
        <v>1575.24</v>
      </c>
      <c r="AC21" s="122">
        <v>87.48</v>
      </c>
      <c r="AD21" s="122">
        <v>0</v>
      </c>
      <c r="AE21" s="122">
        <v>132.38</v>
      </c>
      <c r="AF21" s="122">
        <v>0</v>
      </c>
      <c r="AG21" s="122">
        <v>82.26</v>
      </c>
      <c r="AH21" s="122">
        <v>0</v>
      </c>
      <c r="AI21" s="122">
        <v>13</v>
      </c>
      <c r="AJ21" s="122">
        <v>38.35</v>
      </c>
      <c r="AK21" s="122">
        <v>169.72</v>
      </c>
      <c r="AL21" s="122">
        <v>4.93</v>
      </c>
      <c r="AM21" s="122">
        <v>0.95</v>
      </c>
      <c r="AN21" s="122">
        <v>392.26</v>
      </c>
      <c r="AO21" s="122">
        <v>0</v>
      </c>
      <c r="AP21" s="131">
        <v>13</v>
      </c>
      <c r="AQ21" s="122">
        <v>102.57</v>
      </c>
      <c r="AR21" s="122">
        <v>0</v>
      </c>
      <c r="AS21" s="122">
        <v>230.38</v>
      </c>
      <c r="AT21" s="122">
        <v>4.1100000000000003</v>
      </c>
      <c r="AU21" s="122">
        <v>20.350000000000001</v>
      </c>
      <c r="AV21" s="122">
        <v>28.66</v>
      </c>
      <c r="AW21" s="122">
        <v>326.56</v>
      </c>
      <c r="AX21" s="122">
        <v>0</v>
      </c>
      <c r="AY21" s="122">
        <v>512.24</v>
      </c>
      <c r="AZ21" s="124"/>
    </row>
    <row r="22" spans="1:52" s="120" customFormat="1" x14ac:dyDescent="0.2">
      <c r="A22" s="106" t="s">
        <v>44</v>
      </c>
      <c r="B22" s="122">
        <v>85.96</v>
      </c>
      <c r="C22" s="122">
        <v>115.04</v>
      </c>
      <c r="D22" s="122"/>
      <c r="E22" s="122">
        <v>36.380000000000003</v>
      </c>
      <c r="F22" s="122">
        <v>356.14</v>
      </c>
      <c r="G22" s="122">
        <v>44.7</v>
      </c>
      <c r="H22" s="122">
        <v>260.52</v>
      </c>
      <c r="I22" s="122">
        <v>554.01</v>
      </c>
      <c r="J22" s="122"/>
      <c r="K22" s="122">
        <v>159.46</v>
      </c>
      <c r="L22" s="122">
        <v>20.67</v>
      </c>
      <c r="M22" s="122">
        <v>99.26</v>
      </c>
      <c r="N22" s="122">
        <v>36.799999999999997</v>
      </c>
      <c r="O22" s="122">
        <v>107.87</v>
      </c>
      <c r="P22" s="122">
        <v>110.57</v>
      </c>
      <c r="Q22" s="122">
        <v>293.89999999999998</v>
      </c>
      <c r="R22" s="122">
        <v>95.03</v>
      </c>
      <c r="S22" s="122">
        <v>350.4</v>
      </c>
      <c r="T22" s="122"/>
      <c r="U22" s="122">
        <v>29.1</v>
      </c>
      <c r="V22" s="122">
        <v>178.73</v>
      </c>
      <c r="W22" s="122">
        <v>91.02</v>
      </c>
      <c r="X22" s="122">
        <v>13.55</v>
      </c>
      <c r="Y22" s="122">
        <v>643.1</v>
      </c>
      <c r="Z22" s="122">
        <v>149.83000000000001</v>
      </c>
      <c r="AA22" s="122">
        <v>1347.41</v>
      </c>
      <c r="AB22" s="122">
        <v>699.63</v>
      </c>
      <c r="AC22" s="122">
        <v>29.22</v>
      </c>
      <c r="AD22" s="122">
        <v>0</v>
      </c>
      <c r="AE22" s="122">
        <v>115.45</v>
      </c>
      <c r="AF22" s="122">
        <v>0</v>
      </c>
      <c r="AG22" s="122">
        <v>13.31</v>
      </c>
      <c r="AH22" s="122">
        <v>0</v>
      </c>
      <c r="AI22" s="122">
        <v>13</v>
      </c>
      <c r="AJ22" s="122">
        <v>0</v>
      </c>
      <c r="AK22" s="122">
        <v>71.31</v>
      </c>
      <c r="AL22" s="122">
        <v>0</v>
      </c>
      <c r="AM22" s="122">
        <v>0</v>
      </c>
      <c r="AN22" s="122">
        <v>13</v>
      </c>
      <c r="AO22" s="122">
        <v>0</v>
      </c>
      <c r="AP22" s="131">
        <v>13</v>
      </c>
      <c r="AQ22" s="122">
        <v>3.92</v>
      </c>
      <c r="AR22" s="122">
        <v>0</v>
      </c>
      <c r="AS22" s="122">
        <v>56.17</v>
      </c>
      <c r="AT22" s="122">
        <v>5.12</v>
      </c>
      <c r="AU22" s="122">
        <v>24.38</v>
      </c>
      <c r="AV22" s="122">
        <v>11.57</v>
      </c>
      <c r="AW22" s="122">
        <v>118.91</v>
      </c>
      <c r="AX22" s="122">
        <v>0</v>
      </c>
      <c r="AY22" s="122">
        <v>234.72</v>
      </c>
      <c r="AZ22" s="124"/>
    </row>
    <row r="23" spans="1:52" s="120" customFormat="1" x14ac:dyDescent="0.2">
      <c r="A23" s="106" t="s">
        <v>45</v>
      </c>
      <c r="B23" s="122">
        <v>74.02</v>
      </c>
      <c r="C23" s="122">
        <v>26.68</v>
      </c>
      <c r="D23" s="122"/>
      <c r="E23" s="122">
        <v>39.44</v>
      </c>
      <c r="F23" s="122">
        <v>26.75</v>
      </c>
      <c r="G23" s="122">
        <v>13</v>
      </c>
      <c r="H23" s="122">
        <v>33.4</v>
      </c>
      <c r="I23" s="122">
        <v>28.99</v>
      </c>
      <c r="J23" s="122"/>
      <c r="K23" s="122">
        <v>25.69</v>
      </c>
      <c r="L23" s="122">
        <v>22.36</v>
      </c>
      <c r="M23" s="122">
        <v>24.59</v>
      </c>
      <c r="N23" s="122">
        <v>21.08</v>
      </c>
      <c r="O23" s="122">
        <v>34.83</v>
      </c>
      <c r="P23" s="122">
        <v>67.67</v>
      </c>
      <c r="Q23" s="122">
        <v>91.29</v>
      </c>
      <c r="R23" s="122">
        <v>17.899999999999999</v>
      </c>
      <c r="S23" s="122">
        <v>59.55</v>
      </c>
      <c r="T23" s="122"/>
      <c r="U23" s="122">
        <v>36.79</v>
      </c>
      <c r="V23" s="122">
        <v>42.22</v>
      </c>
      <c r="W23" s="122">
        <v>30.01</v>
      </c>
      <c r="X23" s="122">
        <v>14.65</v>
      </c>
      <c r="Y23" s="122">
        <v>99.35</v>
      </c>
      <c r="Z23" s="122">
        <v>14.72</v>
      </c>
      <c r="AA23" s="122">
        <v>510.88</v>
      </c>
      <c r="AB23" s="122">
        <v>270.73</v>
      </c>
      <c r="AC23" s="122">
        <v>0</v>
      </c>
      <c r="AD23" s="122">
        <v>0</v>
      </c>
      <c r="AE23" s="122">
        <v>51.03</v>
      </c>
      <c r="AF23" s="122">
        <v>0</v>
      </c>
      <c r="AG23" s="122">
        <v>0</v>
      </c>
      <c r="AH23" s="122">
        <v>0</v>
      </c>
      <c r="AI23" s="122">
        <v>13</v>
      </c>
      <c r="AJ23" s="122">
        <v>0</v>
      </c>
      <c r="AK23" s="122">
        <v>13.72</v>
      </c>
      <c r="AL23" s="122">
        <v>0</v>
      </c>
      <c r="AM23" s="122">
        <v>1.03</v>
      </c>
      <c r="AN23" s="122">
        <v>13</v>
      </c>
      <c r="AO23" s="122">
        <v>0</v>
      </c>
      <c r="AP23" s="131">
        <v>18.3</v>
      </c>
      <c r="AQ23" s="122">
        <v>0.98</v>
      </c>
      <c r="AR23" s="122">
        <v>0</v>
      </c>
      <c r="AS23" s="122">
        <v>0</v>
      </c>
      <c r="AT23" s="122">
        <v>0</v>
      </c>
      <c r="AU23" s="122">
        <v>18.579999999999998</v>
      </c>
      <c r="AV23" s="122">
        <v>11.77</v>
      </c>
      <c r="AW23" s="122">
        <v>19.07</v>
      </c>
      <c r="AX23" s="122">
        <v>0</v>
      </c>
      <c r="AY23" s="122">
        <v>15.78</v>
      </c>
      <c r="AZ23" s="124"/>
    </row>
    <row r="24" spans="1:52" s="120" customFormat="1" x14ac:dyDescent="0.2">
      <c r="A24" s="106" t="s">
        <v>46</v>
      </c>
      <c r="B24" s="122">
        <v>25.39</v>
      </c>
      <c r="C24" s="122">
        <v>17.95</v>
      </c>
      <c r="D24" s="122"/>
      <c r="E24" s="122">
        <v>42.69</v>
      </c>
      <c r="F24" s="122">
        <v>29.97</v>
      </c>
      <c r="G24" s="122">
        <v>-10.44</v>
      </c>
      <c r="H24" s="122">
        <v>131.84</v>
      </c>
      <c r="I24" s="122">
        <v>104.21</v>
      </c>
      <c r="J24" s="122"/>
      <c r="K24" s="122">
        <v>13</v>
      </c>
      <c r="L24" s="122">
        <v>20.190000000000001</v>
      </c>
      <c r="M24" s="122">
        <v>25.72</v>
      </c>
      <c r="N24" s="122">
        <v>20.04</v>
      </c>
      <c r="O24" s="122">
        <v>33.82</v>
      </c>
      <c r="P24" s="122">
        <v>9.84</v>
      </c>
      <c r="Q24" s="122">
        <v>24.67</v>
      </c>
      <c r="R24" s="122">
        <v>17.91</v>
      </c>
      <c r="S24" s="122">
        <v>18.3</v>
      </c>
      <c r="T24" s="122"/>
      <c r="U24" s="122">
        <v>32.64</v>
      </c>
      <c r="V24" s="122">
        <v>20.190000000000001</v>
      </c>
      <c r="W24" s="122">
        <v>24.76</v>
      </c>
      <c r="X24" s="122">
        <v>13.55</v>
      </c>
      <c r="Y24" s="122">
        <v>60.33</v>
      </c>
      <c r="Z24" s="122">
        <v>14.72</v>
      </c>
      <c r="AA24" s="122">
        <v>310.60000000000002</v>
      </c>
      <c r="AB24" s="122">
        <v>196.06</v>
      </c>
      <c r="AC24" s="122">
        <v>0</v>
      </c>
      <c r="AD24" s="122">
        <v>0.99</v>
      </c>
      <c r="AE24" s="122">
        <v>45.6</v>
      </c>
      <c r="AF24" s="122">
        <v>0</v>
      </c>
      <c r="AG24" s="122">
        <v>0</v>
      </c>
      <c r="AH24" s="122">
        <v>0</v>
      </c>
      <c r="AI24" s="122">
        <v>13</v>
      </c>
      <c r="AJ24" s="122">
        <v>0</v>
      </c>
      <c r="AK24" s="122">
        <v>13.72</v>
      </c>
      <c r="AL24" s="122">
        <v>2.96</v>
      </c>
      <c r="AM24" s="122">
        <v>0</v>
      </c>
      <c r="AN24" s="122">
        <v>13</v>
      </c>
      <c r="AO24" s="122">
        <v>0</v>
      </c>
      <c r="AP24" s="131">
        <v>13</v>
      </c>
      <c r="AQ24" s="122">
        <v>0</v>
      </c>
      <c r="AR24" s="122">
        <v>0</v>
      </c>
      <c r="AS24" s="122">
        <v>0</v>
      </c>
      <c r="AT24" s="122">
        <v>0</v>
      </c>
      <c r="AU24" s="122">
        <v>10.16</v>
      </c>
      <c r="AV24" s="122">
        <v>11.77</v>
      </c>
      <c r="AW24" s="122">
        <v>14.65</v>
      </c>
      <c r="AX24" s="122">
        <v>9.84</v>
      </c>
      <c r="AY24" s="122">
        <v>15.79</v>
      </c>
      <c r="AZ24" s="124"/>
    </row>
    <row r="25" spans="1:52" s="120" customFormat="1" x14ac:dyDescent="0.2">
      <c r="A25" s="106" t="s">
        <v>47</v>
      </c>
      <c r="B25" s="122">
        <v>21.18</v>
      </c>
      <c r="C25" s="122">
        <v>13.72</v>
      </c>
      <c r="D25" s="122"/>
      <c r="E25" s="122">
        <v>38.56</v>
      </c>
      <c r="F25" s="122">
        <v>27.92</v>
      </c>
      <c r="G25" s="122">
        <v>0</v>
      </c>
      <c r="H25" s="122">
        <v>21.3</v>
      </c>
      <c r="I25" s="122">
        <v>27.99</v>
      </c>
      <c r="J25" s="122"/>
      <c r="K25" s="122">
        <v>13</v>
      </c>
      <c r="L25" s="122">
        <v>17.98</v>
      </c>
      <c r="M25" s="122">
        <v>24.86</v>
      </c>
      <c r="N25" s="122">
        <v>20.07</v>
      </c>
      <c r="O25" s="122">
        <v>32.840000000000003</v>
      </c>
      <c r="P25" s="122">
        <v>84.42</v>
      </c>
      <c r="Q25" s="122">
        <v>13</v>
      </c>
      <c r="R25" s="122">
        <v>15.81</v>
      </c>
      <c r="S25" s="122">
        <v>14.06</v>
      </c>
      <c r="T25" s="122"/>
      <c r="U25" s="122">
        <v>25.65</v>
      </c>
      <c r="V25" s="122">
        <v>20.22</v>
      </c>
      <c r="W25" s="122">
        <v>19.489999999999998</v>
      </c>
      <c r="X25" s="122">
        <v>13.55</v>
      </c>
      <c r="Y25" s="122">
        <v>58.4</v>
      </c>
      <c r="Z25" s="122">
        <v>13.67</v>
      </c>
      <c r="AA25" s="122">
        <v>216.05</v>
      </c>
      <c r="AB25" s="122">
        <v>171.31</v>
      </c>
      <c r="AC25" s="122">
        <v>24.73</v>
      </c>
      <c r="AD25" s="122">
        <v>15.84</v>
      </c>
      <c r="AE25" s="122">
        <v>42.43</v>
      </c>
      <c r="AF25" s="122">
        <v>9.11</v>
      </c>
      <c r="AG25" s="122">
        <v>0</v>
      </c>
      <c r="AH25" s="122">
        <v>40.54</v>
      </c>
      <c r="AI25" s="122">
        <v>25.77</v>
      </c>
      <c r="AJ25" s="122">
        <v>0</v>
      </c>
      <c r="AK25" s="122">
        <v>13.72</v>
      </c>
      <c r="AL25" s="122">
        <v>0</v>
      </c>
      <c r="AM25" s="122">
        <v>3.11</v>
      </c>
      <c r="AN25" s="122">
        <v>677.69</v>
      </c>
      <c r="AO25" s="122">
        <v>0</v>
      </c>
      <c r="AP25" s="131">
        <v>13</v>
      </c>
      <c r="AQ25" s="122">
        <v>94.97</v>
      </c>
      <c r="AR25" s="122">
        <v>0.98</v>
      </c>
      <c r="AS25" s="122">
        <v>0</v>
      </c>
      <c r="AT25" s="122">
        <v>0</v>
      </c>
      <c r="AU25" s="122">
        <v>10.16</v>
      </c>
      <c r="AV25" s="122">
        <v>10.42</v>
      </c>
      <c r="AW25" s="122">
        <v>13.55</v>
      </c>
      <c r="AX25" s="122">
        <v>0</v>
      </c>
      <c r="AY25" s="122">
        <v>10.16</v>
      </c>
      <c r="AZ25" s="124"/>
    </row>
    <row r="26" spans="1:52" s="120" customFormat="1" x14ac:dyDescent="0.2">
      <c r="A26" s="106" t="s">
        <v>48</v>
      </c>
      <c r="B26" s="122">
        <v>22.24</v>
      </c>
      <c r="C26" s="122">
        <v>13.72</v>
      </c>
      <c r="D26" s="122"/>
      <c r="E26" s="122">
        <v>39.630000000000003</v>
      </c>
      <c r="F26" s="122">
        <v>27.92</v>
      </c>
      <c r="G26" s="122">
        <v>0</v>
      </c>
      <c r="H26" s="122">
        <v>1043.73</v>
      </c>
      <c r="I26" s="122">
        <v>27.99</v>
      </c>
      <c r="J26" s="122"/>
      <c r="K26" s="122">
        <v>13</v>
      </c>
      <c r="L26" s="122">
        <v>19.100000000000001</v>
      </c>
      <c r="M26" s="122">
        <v>24.86</v>
      </c>
      <c r="N26" s="122">
        <v>22.19</v>
      </c>
      <c r="O26" s="122">
        <v>36.049999999999997</v>
      </c>
      <c r="P26" s="122">
        <v>43.63</v>
      </c>
      <c r="Q26" s="122">
        <v>13</v>
      </c>
      <c r="R26" s="122">
        <v>18.989999999999998</v>
      </c>
      <c r="S26" s="122">
        <v>0</v>
      </c>
      <c r="T26" s="122"/>
      <c r="U26" s="122">
        <v>29.87</v>
      </c>
      <c r="V26" s="122">
        <v>21.33</v>
      </c>
      <c r="W26" s="122">
        <v>20.55</v>
      </c>
      <c r="X26" s="122">
        <v>13.55</v>
      </c>
      <c r="Y26" s="122">
        <v>62.67</v>
      </c>
      <c r="Z26" s="122">
        <v>14.73</v>
      </c>
      <c r="AA26" s="122">
        <v>264</v>
      </c>
      <c r="AB26" s="122">
        <v>203.27</v>
      </c>
      <c r="AC26" s="122">
        <v>27000.81</v>
      </c>
      <c r="AD26" s="122">
        <v>32690.639999999999</v>
      </c>
      <c r="AE26" s="122">
        <v>55.75</v>
      </c>
      <c r="AF26" s="122">
        <v>17114.169999999998</v>
      </c>
      <c r="AG26" s="122">
        <v>11688.05</v>
      </c>
      <c r="AH26" s="122">
        <v>15695.85</v>
      </c>
      <c r="AI26" s="122">
        <v>23334.41</v>
      </c>
      <c r="AJ26" s="122">
        <v>21535.09</v>
      </c>
      <c r="AK26" s="122">
        <v>13.72</v>
      </c>
      <c r="AL26" s="122">
        <v>51965.19</v>
      </c>
      <c r="AM26" s="122">
        <v>69058.2</v>
      </c>
      <c r="AN26" s="122">
        <v>45063.07</v>
      </c>
      <c r="AO26" s="122">
        <v>34245.06</v>
      </c>
      <c r="AP26" s="131">
        <v>22281.16</v>
      </c>
      <c r="AQ26" s="122">
        <v>18649.48</v>
      </c>
      <c r="AR26" s="122">
        <v>11854.51</v>
      </c>
      <c r="AS26" s="122">
        <v>47445.25</v>
      </c>
      <c r="AT26" s="122">
        <v>12674.81</v>
      </c>
      <c r="AU26" s="122">
        <v>10.16</v>
      </c>
      <c r="AV26" s="122">
        <v>11.77</v>
      </c>
      <c r="AW26" s="122">
        <v>14.66</v>
      </c>
      <c r="AX26" s="122">
        <v>2237.67</v>
      </c>
      <c r="AY26" s="122">
        <v>10.16</v>
      </c>
      <c r="AZ26" s="124"/>
    </row>
    <row r="27" spans="1:52" s="120" customFormat="1" x14ac:dyDescent="0.2">
      <c r="A27" s="106" t="s">
        <v>49</v>
      </c>
      <c r="B27" s="122">
        <v>21.18</v>
      </c>
      <c r="C27" s="122">
        <v>27.57</v>
      </c>
      <c r="D27" s="122"/>
      <c r="E27" s="122">
        <v>44.96</v>
      </c>
      <c r="F27" s="122">
        <v>28.99</v>
      </c>
      <c r="G27" s="122">
        <v>0</v>
      </c>
      <c r="H27" s="122">
        <v>-1089.18</v>
      </c>
      <c r="I27" s="122">
        <v>27.99</v>
      </c>
      <c r="J27" s="122"/>
      <c r="K27" s="122">
        <v>13</v>
      </c>
      <c r="L27" s="122">
        <v>17.98</v>
      </c>
      <c r="M27" s="122">
        <v>25.77</v>
      </c>
      <c r="N27" s="122">
        <v>20.07</v>
      </c>
      <c r="O27" s="122">
        <v>32.85</v>
      </c>
      <c r="P27" s="122">
        <v>36.869999999999997</v>
      </c>
      <c r="Q27" s="122">
        <v>13</v>
      </c>
      <c r="R27" s="122">
        <v>16.88</v>
      </c>
      <c r="S27" s="122">
        <v>133.38</v>
      </c>
      <c r="T27" s="122"/>
      <c r="U27" s="122">
        <v>25.66</v>
      </c>
      <c r="V27" s="122">
        <v>20.22</v>
      </c>
      <c r="W27" s="122">
        <v>19.489999999999998</v>
      </c>
      <c r="X27" s="122">
        <v>28.46</v>
      </c>
      <c r="Y27" s="122">
        <v>52.01</v>
      </c>
      <c r="Z27" s="122">
        <v>13.67</v>
      </c>
      <c r="AA27" s="122">
        <v>218.19</v>
      </c>
      <c r="AB27" s="122">
        <v>0</v>
      </c>
      <c r="AC27" s="122">
        <v>18258.18</v>
      </c>
      <c r="AD27" s="122">
        <v>37565.760000000002</v>
      </c>
      <c r="AE27" s="122">
        <v>74.64</v>
      </c>
      <c r="AF27" s="122">
        <v>44378.43</v>
      </c>
      <c r="AG27" s="122">
        <v>41225.99</v>
      </c>
      <c r="AH27" s="122">
        <v>81409.919999999998</v>
      </c>
      <c r="AI27" s="122">
        <v>46726.65</v>
      </c>
      <c r="AJ27" s="122">
        <v>17567.29</v>
      </c>
      <c r="AK27" s="122">
        <v>13.72</v>
      </c>
      <c r="AL27" s="122">
        <v>69678.64</v>
      </c>
      <c r="AM27" s="122">
        <v>146774.60999999999</v>
      </c>
      <c r="AN27" s="122">
        <v>73391.259999999995</v>
      </c>
      <c r="AO27" s="122">
        <v>106051.76</v>
      </c>
      <c r="AP27" s="131">
        <v>95799.05</v>
      </c>
      <c r="AQ27" s="122">
        <v>48972.52</v>
      </c>
      <c r="AR27" s="122">
        <v>52853.61</v>
      </c>
      <c r="AS27" s="122">
        <v>145352.57999999999</v>
      </c>
      <c r="AT27" s="122">
        <v>37069.18</v>
      </c>
      <c r="AU27" s="122">
        <v>10.16</v>
      </c>
      <c r="AV27" s="122">
        <v>30.69</v>
      </c>
      <c r="AW27" s="122">
        <v>14.66</v>
      </c>
      <c r="AX27" s="122">
        <v>21730.1</v>
      </c>
      <c r="AY27" s="122">
        <v>10.16</v>
      </c>
      <c r="AZ27" s="124"/>
    </row>
    <row r="28" spans="1:52" s="120" customFormat="1" x14ac:dyDescent="0.2">
      <c r="A28" s="106" t="s">
        <v>50</v>
      </c>
      <c r="B28" s="122">
        <v>21.18</v>
      </c>
      <c r="C28" s="122">
        <v>56.33</v>
      </c>
      <c r="D28" s="122"/>
      <c r="E28" s="122">
        <v>46.01</v>
      </c>
      <c r="F28" s="122">
        <v>28.99</v>
      </c>
      <c r="G28" s="122">
        <v>0</v>
      </c>
      <c r="H28" s="122">
        <v>19.100000000000001</v>
      </c>
      <c r="I28" s="122">
        <v>27.99</v>
      </c>
      <c r="J28" s="122"/>
      <c r="K28" s="122">
        <v>13</v>
      </c>
      <c r="L28" s="122">
        <v>19.100000000000001</v>
      </c>
      <c r="M28" s="122">
        <v>24.68</v>
      </c>
      <c r="N28" s="122">
        <v>21.13</v>
      </c>
      <c r="O28" s="122">
        <v>40.31</v>
      </c>
      <c r="P28" s="122">
        <v>38.22</v>
      </c>
      <c r="Q28" s="122">
        <v>13</v>
      </c>
      <c r="R28" s="122">
        <v>17.93</v>
      </c>
      <c r="S28" s="122">
        <v>310.24</v>
      </c>
      <c r="T28" s="122"/>
      <c r="U28" s="122">
        <v>32.700000000000003</v>
      </c>
      <c r="V28" s="122">
        <v>21.33</v>
      </c>
      <c r="W28" s="122">
        <v>20.55</v>
      </c>
      <c r="X28" s="122">
        <v>462.38</v>
      </c>
      <c r="Y28" s="122">
        <v>64.81</v>
      </c>
      <c r="Z28" s="122">
        <v>14.73</v>
      </c>
      <c r="AA28" s="122">
        <v>341.83</v>
      </c>
      <c r="AB28" s="122">
        <v>243</v>
      </c>
      <c r="AC28" s="122">
        <v>124.08</v>
      </c>
      <c r="AD28" s="122">
        <v>1341.83</v>
      </c>
      <c r="AE28" s="122">
        <v>119.07</v>
      </c>
      <c r="AF28" s="122">
        <v>10716.55</v>
      </c>
      <c r="AG28" s="122">
        <v>3193.59</v>
      </c>
      <c r="AH28" s="122">
        <v>28049.77</v>
      </c>
      <c r="AI28" s="122">
        <v>87969.69</v>
      </c>
      <c r="AJ28" s="122">
        <v>3154.21</v>
      </c>
      <c r="AK28" s="122">
        <v>13.72</v>
      </c>
      <c r="AL28" s="122">
        <v>2651.75</v>
      </c>
      <c r="AM28" s="122">
        <v>2873.38</v>
      </c>
      <c r="AN28" s="122">
        <v>7196.77</v>
      </c>
      <c r="AO28" s="122">
        <v>9150.4699999999993</v>
      </c>
      <c r="AP28" s="131">
        <v>11406.23</v>
      </c>
      <c r="AQ28" s="122">
        <v>1059.97</v>
      </c>
      <c r="AR28" s="122">
        <v>0</v>
      </c>
      <c r="AS28" s="122">
        <v>19874.150000000001</v>
      </c>
      <c r="AT28" s="122">
        <v>5217.13</v>
      </c>
      <c r="AU28" s="122">
        <v>10.16</v>
      </c>
      <c r="AV28" s="122">
        <v>48.25</v>
      </c>
      <c r="AW28" s="122">
        <v>14.66</v>
      </c>
      <c r="AX28" s="122">
        <v>9452.07</v>
      </c>
      <c r="AY28" s="122">
        <v>10.16</v>
      </c>
      <c r="AZ28" s="124"/>
    </row>
    <row r="29" spans="1:52" s="120" customFormat="1" x14ac:dyDescent="0.2">
      <c r="A29" s="106" t="s">
        <v>51</v>
      </c>
      <c r="B29" s="122">
        <v>26.22</v>
      </c>
      <c r="C29" s="122">
        <v>32.9</v>
      </c>
      <c r="D29" s="122"/>
      <c r="E29" s="122">
        <v>41.25</v>
      </c>
      <c r="F29" s="122">
        <v>25.47</v>
      </c>
      <c r="G29" s="122">
        <v>0</v>
      </c>
      <c r="H29" s="122">
        <v>39.630000000000003</v>
      </c>
      <c r="I29" s="122">
        <v>31.33</v>
      </c>
      <c r="J29" s="122"/>
      <c r="K29" s="122">
        <v>20.95</v>
      </c>
      <c r="L29" s="122">
        <v>20.66</v>
      </c>
      <c r="M29" s="122">
        <v>25.42</v>
      </c>
      <c r="N29" s="122">
        <v>19.52</v>
      </c>
      <c r="O29" s="122">
        <v>57.97</v>
      </c>
      <c r="P29" s="122">
        <v>69.260000000000005</v>
      </c>
      <c r="Q29" s="122">
        <v>143.38999999999999</v>
      </c>
      <c r="R29" s="122">
        <v>116.76</v>
      </c>
      <c r="S29" s="122">
        <v>208.56</v>
      </c>
      <c r="T29" s="122"/>
      <c r="U29" s="122">
        <v>29.21</v>
      </c>
      <c r="V29" s="122">
        <v>27.23</v>
      </c>
      <c r="W29" s="122">
        <v>25.59</v>
      </c>
      <c r="X29" s="122">
        <v>13.55</v>
      </c>
      <c r="Y29" s="122">
        <v>0</v>
      </c>
      <c r="Z29" s="122">
        <v>37.07</v>
      </c>
      <c r="AA29" s="122">
        <v>1193.8</v>
      </c>
      <c r="AB29" s="122">
        <v>535.19000000000005</v>
      </c>
      <c r="AC29" s="122">
        <v>50.91</v>
      </c>
      <c r="AD29" s="122">
        <v>0</v>
      </c>
      <c r="AE29" s="124">
        <v>138.28</v>
      </c>
      <c r="AF29" s="122">
        <v>596.30999999999995</v>
      </c>
      <c r="AG29" s="122">
        <v>37.950000000000003</v>
      </c>
      <c r="AH29" s="122">
        <v>3254.01</v>
      </c>
      <c r="AI29" s="122">
        <v>28.39</v>
      </c>
      <c r="AJ29" s="122">
        <v>65.010000000000005</v>
      </c>
      <c r="AK29" s="122">
        <v>13.72</v>
      </c>
      <c r="AL29" s="122">
        <v>709.34</v>
      </c>
      <c r="AM29" s="122">
        <v>493</v>
      </c>
      <c r="AN29" s="122">
        <v>1194.54</v>
      </c>
      <c r="AO29" s="122">
        <v>3.46</v>
      </c>
      <c r="AP29" s="131">
        <v>428.49</v>
      </c>
      <c r="AQ29" s="122">
        <v>49.4</v>
      </c>
      <c r="AR29" s="122">
        <v>0</v>
      </c>
      <c r="AS29" s="122">
        <v>775.73</v>
      </c>
      <c r="AT29" s="122">
        <v>301.77</v>
      </c>
      <c r="AU29" s="122">
        <v>10.16</v>
      </c>
      <c r="AV29" s="122">
        <v>43.3</v>
      </c>
      <c r="AW29" s="122">
        <v>13.55</v>
      </c>
      <c r="AX29" s="122">
        <v>2419.4299999999998</v>
      </c>
      <c r="AY29" s="122">
        <v>21.08</v>
      </c>
      <c r="AZ29" s="124"/>
    </row>
    <row r="30" spans="1:52" s="120" customFormat="1" x14ac:dyDescent="0.2">
      <c r="A30" s="106" t="s">
        <v>52</v>
      </c>
      <c r="B30" s="122">
        <v>74.47</v>
      </c>
      <c r="C30" s="122">
        <v>19.350000000000001</v>
      </c>
      <c r="D30" s="122"/>
      <c r="E30" s="122">
        <v>61.36</v>
      </c>
      <c r="F30" s="122">
        <v>73.459999999999994</v>
      </c>
      <c r="G30" s="122">
        <v>0</v>
      </c>
      <c r="H30" s="122">
        <v>195.93</v>
      </c>
      <c r="I30" s="122">
        <v>54.07</v>
      </c>
      <c r="J30" s="122"/>
      <c r="K30" s="122">
        <v>117.48</v>
      </c>
      <c r="L30" s="122">
        <v>19.46</v>
      </c>
      <c r="M30" s="122">
        <v>59.98</v>
      </c>
      <c r="N30" s="122">
        <v>18.53</v>
      </c>
      <c r="O30" s="122">
        <v>72.760000000000005</v>
      </c>
      <c r="P30" s="122">
        <v>78.959999999999994</v>
      </c>
      <c r="Q30" s="122">
        <v>210.46</v>
      </c>
      <c r="R30" s="122">
        <v>102.58</v>
      </c>
      <c r="S30" s="122">
        <v>373.15</v>
      </c>
      <c r="T30" s="122"/>
      <c r="U30" s="122">
        <v>27.51</v>
      </c>
      <c r="V30" s="122">
        <v>171.31</v>
      </c>
      <c r="W30" s="122">
        <v>73.84</v>
      </c>
      <c r="X30" s="122">
        <v>-448.83</v>
      </c>
      <c r="Y30" s="122">
        <v>791.39</v>
      </c>
      <c r="Z30" s="122">
        <v>90.56</v>
      </c>
      <c r="AA30" s="122">
        <v>1117.54</v>
      </c>
      <c r="AB30" s="122">
        <v>0</v>
      </c>
      <c r="AC30" s="122">
        <v>51.63</v>
      </c>
      <c r="AD30" s="122">
        <v>848.45</v>
      </c>
      <c r="AE30" s="124">
        <v>184.15</v>
      </c>
      <c r="AF30" s="122">
        <v>0</v>
      </c>
      <c r="AG30" s="122">
        <v>4.3600000000000003</v>
      </c>
      <c r="AH30" s="122">
        <v>69.63</v>
      </c>
      <c r="AI30" s="122">
        <v>127.24</v>
      </c>
      <c r="AJ30" s="122">
        <v>0</v>
      </c>
      <c r="AK30" s="122">
        <v>54.21</v>
      </c>
      <c r="AL30" s="122">
        <v>198.89</v>
      </c>
      <c r="AM30" s="122">
        <v>396.33</v>
      </c>
      <c r="AN30" s="122">
        <v>367.44</v>
      </c>
      <c r="AO30" s="122">
        <v>223.24</v>
      </c>
      <c r="AP30" s="131">
        <v>16.899999999999999</v>
      </c>
      <c r="AQ30" s="122">
        <v>141.84</v>
      </c>
      <c r="AR30" s="122">
        <v>0</v>
      </c>
      <c r="AS30" s="122">
        <v>432.76</v>
      </c>
      <c r="AT30" s="122">
        <v>0</v>
      </c>
      <c r="AU30" s="122">
        <v>10.16</v>
      </c>
      <c r="AV30" s="122">
        <v>19.82</v>
      </c>
      <c r="AW30" s="122">
        <v>38.99</v>
      </c>
      <c r="AX30" s="122">
        <v>1279.06</v>
      </c>
      <c r="AY30" s="122">
        <v>103.3</v>
      </c>
      <c r="AZ30" s="124"/>
    </row>
    <row r="31" spans="1:52" s="120" customFormat="1" ht="13.5" thickBot="1" x14ac:dyDescent="0.25">
      <c r="A31" s="106" t="s">
        <v>62</v>
      </c>
      <c r="B31" s="130">
        <f>SUM(B19:B30)</f>
        <v>880.83999999999992</v>
      </c>
      <c r="C31" s="130">
        <f>SUM(C19:C30)</f>
        <v>646.54000000000008</v>
      </c>
      <c r="D31" s="130"/>
      <c r="E31" s="130">
        <f t="shared" ref="E31:AY31" si="1">SUM(E19:E30)</f>
        <v>492.92</v>
      </c>
      <c r="F31" s="130">
        <f t="shared" si="1"/>
        <v>1911.7500000000005</v>
      </c>
      <c r="G31" s="123">
        <f t="shared" si="1"/>
        <v>294.18</v>
      </c>
      <c r="H31" s="130">
        <f t="shared" si="1"/>
        <v>2259.4699999999998</v>
      </c>
      <c r="I31" s="123">
        <f t="shared" si="1"/>
        <v>3942.2399999999993</v>
      </c>
      <c r="J31" s="132">
        <f t="shared" si="1"/>
        <v>0</v>
      </c>
      <c r="K31" s="123">
        <f t="shared" si="1"/>
        <v>1274.5100000000002</v>
      </c>
      <c r="L31" s="123">
        <f t="shared" si="1"/>
        <v>242.83999999999997</v>
      </c>
      <c r="M31" s="123">
        <f t="shared" si="1"/>
        <v>1725.0499999999997</v>
      </c>
      <c r="N31" s="123">
        <f t="shared" si="1"/>
        <v>616.1</v>
      </c>
      <c r="O31" s="123">
        <f t="shared" si="1"/>
        <v>1255.96</v>
      </c>
      <c r="P31" s="123">
        <f t="shared" si="1"/>
        <v>1093.2299999999998</v>
      </c>
      <c r="Q31" s="123">
        <f t="shared" si="1"/>
        <v>2886.62</v>
      </c>
      <c r="R31" s="123">
        <f t="shared" si="1"/>
        <v>1010.3699999999998</v>
      </c>
      <c r="S31" s="123">
        <f t="shared" si="1"/>
        <v>4609.7500000000009</v>
      </c>
      <c r="T31" s="123">
        <f t="shared" si="1"/>
        <v>0</v>
      </c>
      <c r="U31" s="123">
        <f t="shared" si="1"/>
        <v>367.29999999999995</v>
      </c>
      <c r="V31" s="123">
        <f t="shared" si="1"/>
        <v>2003.84</v>
      </c>
      <c r="W31" s="123">
        <f t="shared" si="1"/>
        <v>848.71999999999991</v>
      </c>
      <c r="X31" s="123">
        <f t="shared" si="1"/>
        <v>4491.9900000000007</v>
      </c>
      <c r="Y31" s="123">
        <f t="shared" si="1"/>
        <v>7010.5500000000011</v>
      </c>
      <c r="Z31" s="123">
        <f t="shared" si="1"/>
        <v>1680.68</v>
      </c>
      <c r="AA31" s="123">
        <f t="shared" si="1"/>
        <v>17551.48</v>
      </c>
      <c r="AB31" s="123">
        <f t="shared" si="1"/>
        <v>7424.8300000000017</v>
      </c>
      <c r="AC31" s="123">
        <f>SUM(AC19:AC30)</f>
        <v>45819.55</v>
      </c>
      <c r="AD31" s="123">
        <f>SUM(AD19:AD30)</f>
        <v>72463.510000000009</v>
      </c>
      <c r="AE31" s="123"/>
      <c r="AF31" s="123">
        <f>SUM(AF19:AF30)</f>
        <v>72814.569999999992</v>
      </c>
      <c r="AG31" s="123">
        <f>SUM(AG19:AG30)</f>
        <v>56404.56</v>
      </c>
      <c r="AH31" s="123">
        <f>SUM(AH19:AH30)</f>
        <v>128738.08</v>
      </c>
      <c r="AI31" s="123">
        <f>SUM(AI19:AI30)</f>
        <v>158295.28000000003</v>
      </c>
      <c r="AJ31" s="123">
        <f>SUM(AJ19:AJ30)</f>
        <v>42667.3</v>
      </c>
      <c r="AK31" s="123">
        <f t="shared" si="1"/>
        <v>4270.4000000000015</v>
      </c>
      <c r="AL31" s="123">
        <f t="shared" si="1"/>
        <v>125211.7</v>
      </c>
      <c r="AM31" s="123">
        <f t="shared" si="1"/>
        <v>224796.13999999998</v>
      </c>
      <c r="AN31" s="123">
        <f t="shared" si="1"/>
        <v>129670.91</v>
      </c>
      <c r="AO31" s="123">
        <f t="shared" si="1"/>
        <v>149792.38999999998</v>
      </c>
      <c r="AP31" s="123">
        <f t="shared" si="1"/>
        <v>130154.35</v>
      </c>
      <c r="AQ31" s="123">
        <f t="shared" si="1"/>
        <v>69450.439999999988</v>
      </c>
      <c r="AR31" s="123">
        <f t="shared" si="1"/>
        <v>64709.1</v>
      </c>
      <c r="AS31" s="123">
        <f t="shared" si="1"/>
        <v>216068.25</v>
      </c>
      <c r="AT31" s="123">
        <f t="shared" si="1"/>
        <v>55281.51999999999</v>
      </c>
      <c r="AU31" s="123">
        <f t="shared" si="1"/>
        <v>182.51</v>
      </c>
      <c r="AV31" s="123">
        <f t="shared" si="1"/>
        <v>397.79</v>
      </c>
      <c r="AW31" s="123">
        <f t="shared" si="1"/>
        <v>1187.3000000000002</v>
      </c>
      <c r="AX31" s="123">
        <f>SUM(AX19:AX30)</f>
        <v>39916.829999999994</v>
      </c>
      <c r="AY31" s="123">
        <f t="shared" si="1"/>
        <v>2106.1600000000003</v>
      </c>
      <c r="AZ31" s="124"/>
    </row>
    <row r="32" spans="1:52" s="120" customFormat="1" ht="13.5" thickTop="1" x14ac:dyDescent="0.2">
      <c r="B32" s="124">
        <f t="shared" ref="B32:G32" si="2">IF(B16=0,"",(B31/B16))</f>
        <v>10.942111801242236</v>
      </c>
      <c r="C32" s="124">
        <f t="shared" si="2"/>
        <v>12.062313432835822</v>
      </c>
      <c r="D32" s="124" t="str">
        <f t="shared" si="2"/>
        <v/>
      </c>
      <c r="E32" s="124">
        <f t="shared" si="2"/>
        <v>13.924293785310736</v>
      </c>
      <c r="F32" s="124">
        <f t="shared" si="2"/>
        <v>9.7043147208121852</v>
      </c>
      <c r="G32" s="124">
        <f t="shared" si="2"/>
        <v>10.469039145907473</v>
      </c>
      <c r="H32" s="124">
        <f t="shared" ref="H32:AY32" si="3">IF(H16=0,"",(H31/H16))</f>
        <v>6.6474551338629011</v>
      </c>
      <c r="I32" s="124">
        <f t="shared" si="3"/>
        <v>9.5523140295614226</v>
      </c>
      <c r="J32" s="124" t="str">
        <f t="shared" si="3"/>
        <v/>
      </c>
      <c r="K32" s="124">
        <f t="shared" si="3"/>
        <v>9.6700303490136577</v>
      </c>
      <c r="L32" s="124">
        <f t="shared" si="3"/>
        <v>29.980246913580245</v>
      </c>
      <c r="M32" s="124">
        <f t="shared" si="3"/>
        <v>9.857428571428569</v>
      </c>
      <c r="N32" s="124">
        <f t="shared" si="3"/>
        <v>11.712927756653993</v>
      </c>
      <c r="O32" s="124">
        <f t="shared" si="3"/>
        <v>9.9206951026856256</v>
      </c>
      <c r="P32" s="124">
        <f t="shared" si="3"/>
        <v>11.857158351409975</v>
      </c>
      <c r="Q32" s="124">
        <f t="shared" si="3"/>
        <v>8.9479851208927457</v>
      </c>
      <c r="R32" s="124">
        <f t="shared" si="3"/>
        <v>9.9838932806324081</v>
      </c>
      <c r="S32" s="124">
        <f t="shared" si="3"/>
        <v>8.8683147364370942</v>
      </c>
      <c r="T32" s="124" t="str">
        <f t="shared" si="3"/>
        <v/>
      </c>
      <c r="U32" s="124">
        <f t="shared" si="3"/>
        <v>18.932989690721648</v>
      </c>
      <c r="V32" s="124">
        <f t="shared" si="3"/>
        <v>9.6153550863723609</v>
      </c>
      <c r="W32" s="124">
        <f t="shared" si="3"/>
        <v>10.595755305867666</v>
      </c>
      <c r="X32" s="124">
        <f t="shared" si="3"/>
        <v>7.980085272694974</v>
      </c>
      <c r="Y32" s="124">
        <f t="shared" si="3"/>
        <v>7.6517681728880165</v>
      </c>
      <c r="Z32" s="124">
        <f t="shared" si="3"/>
        <v>9.3319267073847865</v>
      </c>
      <c r="AA32" s="124">
        <f t="shared" si="3"/>
        <v>8.4818441018701964</v>
      </c>
      <c r="AB32" s="124">
        <f t="shared" si="3"/>
        <v>8.7982343879606617</v>
      </c>
      <c r="AC32" s="124">
        <f t="shared" si="3"/>
        <v>8.7547146378279237</v>
      </c>
      <c r="AD32" s="124">
        <f t="shared" si="3"/>
        <v>8.6047890468217521</v>
      </c>
      <c r="AE32" s="124">
        <f t="shared" si="3"/>
        <v>0</v>
      </c>
      <c r="AF32" s="124">
        <f t="shared" si="3"/>
        <v>8.7703037675852755</v>
      </c>
      <c r="AG32" s="124">
        <f t="shared" si="3"/>
        <v>9.0994176198235106</v>
      </c>
      <c r="AH32" s="124">
        <f t="shared" si="3"/>
        <v>8.6647964678009899</v>
      </c>
      <c r="AI32" s="124">
        <f t="shared" si="3"/>
        <v>10.268445805250492</v>
      </c>
      <c r="AJ32" s="124">
        <f t="shared" si="3"/>
        <v>8.9060908407781589</v>
      </c>
      <c r="AK32" s="124">
        <f t="shared" si="3"/>
        <v>8.9096599207177167</v>
      </c>
      <c r="AL32" s="124">
        <f t="shared" si="3"/>
        <v>8.4553367637724026</v>
      </c>
      <c r="AM32" s="124">
        <f t="shared" si="3"/>
        <v>8.7478505523926628</v>
      </c>
      <c r="AN32" s="124">
        <f t="shared" si="3"/>
        <v>9.6576902738573143</v>
      </c>
      <c r="AO32" s="124">
        <f t="shared" si="3"/>
        <v>8.4110028019383343</v>
      </c>
      <c r="AP32" s="124">
        <f t="shared" si="3"/>
        <v>9.902337984448943</v>
      </c>
      <c r="AQ32" s="124">
        <f t="shared" si="3"/>
        <v>8.6155040875314768</v>
      </c>
      <c r="AR32" s="124">
        <f t="shared" si="3"/>
        <v>8.5814258812296096</v>
      </c>
      <c r="AS32" s="124">
        <f t="shared" si="3"/>
        <v>8.9643344632018298</v>
      </c>
      <c r="AT32" s="124">
        <f t="shared" si="3"/>
        <v>9.168812299935313</v>
      </c>
      <c r="AU32" s="124">
        <f t="shared" si="3"/>
        <v>35.786274509803924</v>
      </c>
      <c r="AV32" s="124">
        <f t="shared" si="3"/>
        <v>16.505809128630705</v>
      </c>
      <c r="AW32" s="124">
        <f t="shared" si="3"/>
        <v>10.2618841832325</v>
      </c>
      <c r="AX32" s="124">
        <f t="shared" si="3"/>
        <v>8.819644711549083</v>
      </c>
      <c r="AY32" s="124">
        <f t="shared" si="3"/>
        <v>10.483623693379792</v>
      </c>
      <c r="AZ32" s="124"/>
    </row>
    <row r="33" spans="2:52" x14ac:dyDescent="0.2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</row>
    <row r="35" spans="2:52" ht="15" x14ac:dyDescent="0.2">
      <c r="AS35" s="45"/>
      <c r="AT35" s="46"/>
    </row>
    <row r="36" spans="2:52" ht="15" x14ac:dyDescent="0.2">
      <c r="AS36" s="45"/>
      <c r="AT36" s="46"/>
    </row>
    <row r="37" spans="2:52" ht="15" x14ac:dyDescent="0.2">
      <c r="AS37" s="45"/>
      <c r="AT37" s="46"/>
    </row>
    <row r="38" spans="2:52" ht="15" x14ac:dyDescent="0.2">
      <c r="AS38" s="45"/>
    </row>
    <row r="39" spans="2:52" ht="15" x14ac:dyDescent="0.2">
      <c r="AS39" s="45"/>
      <c r="AT39" s="46"/>
    </row>
    <row r="40" spans="2:52" ht="15" x14ac:dyDescent="0.2">
      <c r="AS40" s="45"/>
      <c r="AT40" s="46"/>
    </row>
    <row r="41" spans="2:52" ht="15" x14ac:dyDescent="0.2">
      <c r="AS41" s="45"/>
      <c r="AT41" s="46"/>
    </row>
    <row r="42" spans="2:52" ht="15" x14ac:dyDescent="0.2">
      <c r="AS42" s="45"/>
      <c r="AT42" s="46"/>
    </row>
    <row r="43" spans="2:52" ht="15" x14ac:dyDescent="0.2">
      <c r="AS43" s="45"/>
      <c r="AT43" s="46"/>
    </row>
    <row r="44" spans="2:52" ht="15" x14ac:dyDescent="0.2">
      <c r="AS44" s="45"/>
      <c r="AT44" s="46"/>
    </row>
    <row r="45" spans="2:52" ht="15" x14ac:dyDescent="0.2">
      <c r="AS45" s="45"/>
      <c r="AT45" s="46"/>
    </row>
    <row r="46" spans="2:52" ht="15" x14ac:dyDescent="0.2">
      <c r="AS46" s="45"/>
      <c r="AT46" s="46"/>
    </row>
    <row r="47" spans="2:52" ht="15" x14ac:dyDescent="0.2">
      <c r="AS47" s="45"/>
      <c r="AT47" s="46"/>
    </row>
    <row r="48" spans="2:52" ht="15" x14ac:dyDescent="0.2">
      <c r="AS48" s="45"/>
      <c r="AT48" s="46"/>
    </row>
    <row r="49" spans="45:46" ht="15" x14ac:dyDescent="0.2">
      <c r="AS49" s="45"/>
      <c r="AT49" s="46"/>
    </row>
    <row r="50" spans="45:46" ht="15" x14ac:dyDescent="0.2">
      <c r="AS50" s="45"/>
      <c r="AT50" s="46"/>
    </row>
    <row r="51" spans="45:46" ht="15" x14ac:dyDescent="0.2">
      <c r="AS51" s="45"/>
      <c r="AT51" s="46"/>
    </row>
    <row r="52" spans="45:46" ht="15" x14ac:dyDescent="0.2">
      <c r="AS52" s="45"/>
      <c r="AT52" s="46"/>
    </row>
    <row r="53" spans="45:46" ht="15" x14ac:dyDescent="0.2">
      <c r="AS53" s="45"/>
      <c r="AT53" s="46"/>
    </row>
    <row r="54" spans="45:46" ht="15" x14ac:dyDescent="0.2">
      <c r="AS54" s="45"/>
      <c r="AT54" s="46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workbookViewId="0">
      <selection activeCell="AY31" sqref="AY31"/>
    </sheetView>
  </sheetViews>
  <sheetFormatPr defaultRowHeight="12.75" x14ac:dyDescent="0.2"/>
  <cols>
    <col min="9" max="9" width="10.28515625" bestFit="1" customWidth="1"/>
    <col min="11" max="11" width="11.42578125" bestFit="1" customWidth="1"/>
    <col min="19" max="19" width="10.28515625" bestFit="1" customWidth="1"/>
    <col min="25" max="28" width="10.28515625" bestFit="1" customWidth="1"/>
    <col min="29" max="29" width="14.28515625" bestFit="1" customWidth="1"/>
    <col min="30" max="30" width="11.28515625" bestFit="1" customWidth="1"/>
    <col min="33" max="33" width="11.28515625" bestFit="1" customWidth="1"/>
    <col min="34" max="35" width="12.28515625" bestFit="1" customWidth="1"/>
    <col min="36" max="36" width="11.28515625" bestFit="1" customWidth="1"/>
    <col min="37" max="37" width="10.28515625" bestFit="1" customWidth="1"/>
    <col min="38" max="39" width="12.28515625" bestFit="1" customWidth="1"/>
    <col min="40" max="40" width="11.28515625" bestFit="1" customWidth="1"/>
    <col min="41" max="42" width="12.28515625" bestFit="1" customWidth="1"/>
    <col min="43" max="44" width="11.28515625" bestFit="1" customWidth="1"/>
    <col min="45" max="45" width="12.28515625" bestFit="1" customWidth="1"/>
    <col min="46" max="46" width="12.7109375" customWidth="1"/>
    <col min="47" max="47" width="10.28515625" bestFit="1" customWidth="1"/>
    <col min="49" max="49" width="10.42578125" customWidth="1"/>
    <col min="50" max="50" width="11.28515625" bestFit="1" customWidth="1"/>
    <col min="51" max="51" width="10.28515625" bestFit="1" customWidth="1"/>
  </cols>
  <sheetData>
    <row r="1" spans="1:52" x14ac:dyDescent="0.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V1" s="3"/>
      <c r="X1" s="2"/>
      <c r="Y1" s="3"/>
      <c r="AA1" s="2"/>
      <c r="AB1" s="3"/>
      <c r="AD1" s="2"/>
      <c r="AE1" s="2"/>
      <c r="AF1" s="2"/>
      <c r="AG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2" x14ac:dyDescent="0.2">
      <c r="A2" s="1"/>
      <c r="B2" s="47">
        <v>594386</v>
      </c>
      <c r="C2" s="26">
        <v>1588956</v>
      </c>
      <c r="D2" s="26"/>
      <c r="E2" s="48">
        <v>33513</v>
      </c>
      <c r="F2" s="48">
        <v>33514</v>
      </c>
      <c r="G2" s="48">
        <v>105744</v>
      </c>
      <c r="H2" s="49">
        <v>263686</v>
      </c>
      <c r="I2" s="26">
        <v>263691</v>
      </c>
      <c r="J2" s="48">
        <v>263754</v>
      </c>
      <c r="K2" s="48">
        <v>539243</v>
      </c>
      <c r="L2" s="26">
        <v>539246</v>
      </c>
      <c r="M2" s="26">
        <v>574126</v>
      </c>
      <c r="N2" s="26">
        <v>637887</v>
      </c>
      <c r="O2" s="26">
        <v>637888</v>
      </c>
      <c r="P2" s="26">
        <v>637889</v>
      </c>
      <c r="Q2" s="26">
        <v>637890</v>
      </c>
      <c r="R2" s="26">
        <v>637892</v>
      </c>
      <c r="S2" s="26">
        <v>647598</v>
      </c>
      <c r="T2" s="26">
        <v>647856</v>
      </c>
      <c r="U2" s="26">
        <v>687022</v>
      </c>
      <c r="V2" s="26">
        <v>687023</v>
      </c>
      <c r="W2" s="26">
        <v>687831</v>
      </c>
      <c r="X2" s="26">
        <v>740818</v>
      </c>
      <c r="Y2" s="26">
        <v>740824</v>
      </c>
      <c r="Z2" s="26">
        <v>740838</v>
      </c>
      <c r="AA2" s="26">
        <v>740876</v>
      </c>
      <c r="AB2" s="26">
        <v>740882</v>
      </c>
      <c r="AC2" s="50">
        <v>741089</v>
      </c>
      <c r="AD2" s="50">
        <v>742815</v>
      </c>
      <c r="AE2" s="26">
        <v>742950</v>
      </c>
      <c r="AF2" s="50">
        <v>749325</v>
      </c>
      <c r="AG2" s="51">
        <v>749330</v>
      </c>
      <c r="AH2" s="50">
        <v>749334</v>
      </c>
      <c r="AI2" s="52">
        <v>749339</v>
      </c>
      <c r="AJ2" s="53">
        <v>762803</v>
      </c>
      <c r="AK2" s="54">
        <v>765933</v>
      </c>
      <c r="AL2" s="53">
        <v>868849</v>
      </c>
      <c r="AM2" s="53">
        <v>869044</v>
      </c>
      <c r="AN2" s="53">
        <v>869127</v>
      </c>
      <c r="AO2" s="53">
        <v>869308</v>
      </c>
      <c r="AP2" s="53">
        <v>869309</v>
      </c>
      <c r="AQ2" s="53">
        <v>869446</v>
      </c>
      <c r="AR2" s="53">
        <v>888353</v>
      </c>
      <c r="AS2" s="53">
        <v>888354</v>
      </c>
      <c r="AT2" s="53">
        <v>888355</v>
      </c>
      <c r="AU2" s="48">
        <v>1060882</v>
      </c>
      <c r="AV2" s="26">
        <v>1064052</v>
      </c>
      <c r="AW2" s="7" t="s">
        <v>2</v>
      </c>
      <c r="AX2" s="44">
        <v>672937</v>
      </c>
      <c r="AY2" s="7">
        <v>1342205</v>
      </c>
      <c r="AZ2" s="1"/>
    </row>
    <row r="3" spans="1:52" ht="18.75" x14ac:dyDescent="0.2">
      <c r="A3" s="8">
        <v>2011</v>
      </c>
      <c r="B3" s="9" t="s">
        <v>3</v>
      </c>
      <c r="C3" s="9" t="s">
        <v>3</v>
      </c>
      <c r="D3" s="9" t="s">
        <v>3</v>
      </c>
      <c r="E3" s="8" t="s">
        <v>4</v>
      </c>
      <c r="F3" s="8" t="s">
        <v>4</v>
      </c>
      <c r="G3" s="8" t="s">
        <v>5</v>
      </c>
      <c r="H3" s="8" t="s">
        <v>6</v>
      </c>
      <c r="I3" s="10" t="s">
        <v>6</v>
      </c>
      <c r="J3" s="8" t="s">
        <v>6</v>
      </c>
      <c r="K3" s="11" t="s">
        <v>7</v>
      </c>
      <c r="L3" s="12" t="s">
        <v>8</v>
      </c>
      <c r="M3" s="13" t="s">
        <v>9</v>
      </c>
      <c r="N3" s="14" t="s">
        <v>10</v>
      </c>
      <c r="O3" s="14" t="s">
        <v>11</v>
      </c>
      <c r="P3" s="15" t="s">
        <v>12</v>
      </c>
      <c r="Q3" s="16" t="s">
        <v>13</v>
      </c>
      <c r="R3" s="16" t="s">
        <v>14</v>
      </c>
      <c r="S3" s="13" t="s">
        <v>15</v>
      </c>
      <c r="T3" s="17" t="s">
        <v>16</v>
      </c>
      <c r="U3" s="17" t="s">
        <v>17</v>
      </c>
      <c r="V3" s="17" t="s">
        <v>18</v>
      </c>
      <c r="W3" s="16" t="s">
        <v>19</v>
      </c>
      <c r="X3" s="18" t="s">
        <v>20</v>
      </c>
      <c r="Y3" s="19" t="s">
        <v>21</v>
      </c>
      <c r="Z3" s="16" t="s">
        <v>22</v>
      </c>
      <c r="AA3" s="16" t="s">
        <v>23</v>
      </c>
      <c r="AB3" s="20" t="s">
        <v>24</v>
      </c>
      <c r="AC3" s="20" t="s">
        <v>25</v>
      </c>
      <c r="AD3" s="21" t="s">
        <v>26</v>
      </c>
      <c r="AE3" s="21" t="s">
        <v>26</v>
      </c>
      <c r="AF3" s="20" t="s">
        <v>27</v>
      </c>
      <c r="AG3" s="20" t="s">
        <v>55</v>
      </c>
      <c r="AH3" s="12" t="s">
        <v>28</v>
      </c>
      <c r="AI3" s="22" t="s">
        <v>29</v>
      </c>
      <c r="AJ3" s="12" t="s">
        <v>19</v>
      </c>
      <c r="AK3" s="16" t="s">
        <v>30</v>
      </c>
      <c r="AL3" s="20" t="s">
        <v>4</v>
      </c>
      <c r="AM3" s="16" t="s">
        <v>31</v>
      </c>
      <c r="AN3" s="20" t="s">
        <v>32</v>
      </c>
      <c r="AO3" s="20" t="s">
        <v>5</v>
      </c>
      <c r="AP3" s="20" t="s">
        <v>33</v>
      </c>
      <c r="AQ3" s="20" t="s">
        <v>34</v>
      </c>
      <c r="AR3" s="18" t="s">
        <v>56</v>
      </c>
      <c r="AS3" s="20" t="s">
        <v>35</v>
      </c>
      <c r="AT3" s="20" t="s">
        <v>36</v>
      </c>
      <c r="AU3" s="20" t="s">
        <v>37</v>
      </c>
      <c r="AV3" s="43" t="s">
        <v>38</v>
      </c>
      <c r="AW3" s="24" t="s">
        <v>39</v>
      </c>
      <c r="AX3" s="23" t="s">
        <v>57</v>
      </c>
      <c r="AY3" s="23" t="s">
        <v>40</v>
      </c>
      <c r="AZ3" s="23"/>
    </row>
    <row r="4" spans="1:52" x14ac:dyDescent="0.2">
      <c r="A4" s="26" t="s">
        <v>61</v>
      </c>
      <c r="B4" s="65">
        <v>192</v>
      </c>
      <c r="C4" s="65">
        <v>129</v>
      </c>
      <c r="D4" s="3"/>
      <c r="E4" s="65">
        <v>105</v>
      </c>
      <c r="F4" s="65">
        <v>373</v>
      </c>
      <c r="G4" s="65">
        <v>74</v>
      </c>
      <c r="H4" s="65">
        <v>540</v>
      </c>
      <c r="I4" s="65">
        <v>799</v>
      </c>
      <c r="J4" s="76"/>
      <c r="K4" s="65">
        <v>293</v>
      </c>
      <c r="L4" s="65">
        <v>13</v>
      </c>
      <c r="M4" s="65">
        <v>414</v>
      </c>
      <c r="N4" s="65">
        <v>79</v>
      </c>
      <c r="O4" s="65">
        <v>333</v>
      </c>
      <c r="P4" s="65">
        <v>161</v>
      </c>
      <c r="Q4" s="65">
        <v>630</v>
      </c>
      <c r="R4" s="65"/>
      <c r="S4" s="65">
        <v>1170</v>
      </c>
      <c r="T4" s="76"/>
      <c r="U4" s="65">
        <v>24</v>
      </c>
      <c r="V4" s="65">
        <v>467</v>
      </c>
      <c r="W4" s="65">
        <v>213</v>
      </c>
      <c r="X4" s="65">
        <v>0</v>
      </c>
      <c r="Y4" s="65">
        <v>1774</v>
      </c>
      <c r="Z4" s="65">
        <v>388</v>
      </c>
      <c r="AA4" s="65">
        <v>3865</v>
      </c>
      <c r="AB4" s="65">
        <v>1965</v>
      </c>
      <c r="AC4" s="65">
        <v>80</v>
      </c>
      <c r="AD4" s="65">
        <v>0</v>
      </c>
      <c r="AE4" s="65">
        <v>211</v>
      </c>
      <c r="AF4" s="65"/>
      <c r="AG4" s="65">
        <v>52</v>
      </c>
      <c r="AH4" s="65">
        <v>566</v>
      </c>
      <c r="AI4" s="65">
        <v>0</v>
      </c>
      <c r="AJ4" s="65">
        <v>0</v>
      </c>
      <c r="AK4" s="65">
        <v>87</v>
      </c>
      <c r="AL4" s="65">
        <v>662</v>
      </c>
      <c r="AM4" s="65">
        <v>650</v>
      </c>
      <c r="AN4" s="65">
        <v>1191</v>
      </c>
      <c r="AO4" s="65">
        <v>1959</v>
      </c>
      <c r="AP4" s="65">
        <v>44</v>
      </c>
      <c r="AQ4" s="65">
        <v>541</v>
      </c>
      <c r="AR4" s="65">
        <v>465</v>
      </c>
      <c r="AS4" s="79">
        <v>1474</v>
      </c>
      <c r="AT4" s="65">
        <v>50919</v>
      </c>
      <c r="AU4" s="65">
        <v>5</v>
      </c>
      <c r="AV4" s="65">
        <v>13</v>
      </c>
      <c r="AW4" s="65">
        <v>250</v>
      </c>
      <c r="AX4" s="65">
        <v>0</v>
      </c>
      <c r="AY4" s="65">
        <v>520</v>
      </c>
    </row>
    <row r="5" spans="1:52" x14ac:dyDescent="0.2">
      <c r="A5" s="25" t="s">
        <v>42</v>
      </c>
      <c r="B5" s="65">
        <v>189</v>
      </c>
      <c r="C5" s="65">
        <v>168</v>
      </c>
      <c r="D5" s="3"/>
      <c r="E5" s="65">
        <v>133</v>
      </c>
      <c r="F5" s="65">
        <v>486</v>
      </c>
      <c r="G5" s="65">
        <v>64</v>
      </c>
      <c r="H5" s="65">
        <v>718</v>
      </c>
      <c r="I5" s="65">
        <v>1052</v>
      </c>
      <c r="J5" s="76"/>
      <c r="K5" s="65">
        <v>372</v>
      </c>
      <c r="L5" s="65">
        <v>14</v>
      </c>
      <c r="M5" s="65">
        <v>516</v>
      </c>
      <c r="N5" s="65">
        <v>107</v>
      </c>
      <c r="O5" s="65">
        <v>336</v>
      </c>
      <c r="P5" s="65">
        <v>186</v>
      </c>
      <c r="Q5" s="65">
        <v>677</v>
      </c>
      <c r="R5" s="65"/>
      <c r="S5" s="65">
        <v>1360</v>
      </c>
      <c r="T5" s="76"/>
      <c r="U5" s="65">
        <v>22</v>
      </c>
      <c r="V5" s="65">
        <v>554</v>
      </c>
      <c r="W5" s="65">
        <v>214</v>
      </c>
      <c r="X5" s="65">
        <v>0</v>
      </c>
      <c r="Y5" s="65">
        <v>1834</v>
      </c>
      <c r="Z5" s="65">
        <v>434</v>
      </c>
      <c r="AA5" s="65">
        <v>4242</v>
      </c>
      <c r="AB5" s="65">
        <v>1934</v>
      </c>
      <c r="AC5" s="65">
        <v>93</v>
      </c>
      <c r="AD5" s="65">
        <v>900</v>
      </c>
      <c r="AE5" s="65">
        <v>159</v>
      </c>
      <c r="AF5" s="65"/>
      <c r="AG5" s="65">
        <v>0</v>
      </c>
      <c r="AH5" s="65">
        <v>0</v>
      </c>
      <c r="AI5" s="65">
        <v>0</v>
      </c>
      <c r="AJ5" s="65">
        <v>0</v>
      </c>
      <c r="AK5" s="65">
        <v>125</v>
      </c>
      <c r="AL5" s="65">
        <v>549</v>
      </c>
      <c r="AM5" s="65">
        <v>671</v>
      </c>
      <c r="AN5" s="65">
        <v>1018</v>
      </c>
      <c r="AO5" s="65">
        <v>0</v>
      </c>
      <c r="AP5" s="65">
        <v>70</v>
      </c>
      <c r="AQ5" s="65">
        <v>594</v>
      </c>
      <c r="AR5" s="65">
        <v>359</v>
      </c>
      <c r="AS5" s="79">
        <v>638</v>
      </c>
      <c r="AT5" s="65">
        <v>5</v>
      </c>
      <c r="AU5" s="65">
        <v>7</v>
      </c>
      <c r="AV5" s="65">
        <v>5</v>
      </c>
      <c r="AW5" s="65">
        <v>241</v>
      </c>
      <c r="AX5" s="65">
        <v>0</v>
      </c>
      <c r="AY5" s="65">
        <v>532</v>
      </c>
    </row>
    <row r="6" spans="1:52" x14ac:dyDescent="0.2">
      <c r="A6" s="25" t="s">
        <v>43</v>
      </c>
      <c r="B6" s="65">
        <v>130</v>
      </c>
      <c r="C6" s="65">
        <v>160</v>
      </c>
      <c r="D6" s="3"/>
      <c r="E6" s="65">
        <v>74</v>
      </c>
      <c r="F6" s="65">
        <v>182</v>
      </c>
      <c r="G6" s="65">
        <v>67</v>
      </c>
      <c r="H6" s="65">
        <v>333</v>
      </c>
      <c r="I6" s="65">
        <v>946</v>
      </c>
      <c r="J6" s="76"/>
      <c r="K6" s="65">
        <v>232</v>
      </c>
      <c r="L6" s="65">
        <v>14</v>
      </c>
      <c r="M6" s="65">
        <v>254</v>
      </c>
      <c r="N6" s="65">
        <v>54</v>
      </c>
      <c r="O6" s="65">
        <v>235</v>
      </c>
      <c r="P6" s="65">
        <v>165</v>
      </c>
      <c r="Q6" s="65">
        <v>503</v>
      </c>
      <c r="R6" s="65"/>
      <c r="S6" s="65">
        <v>1003</v>
      </c>
      <c r="T6" s="76"/>
      <c r="U6" s="65">
        <v>19</v>
      </c>
      <c r="V6" s="65">
        <v>383</v>
      </c>
      <c r="W6" s="65">
        <v>170</v>
      </c>
      <c r="X6" s="65">
        <v>0</v>
      </c>
      <c r="Y6" s="65">
        <v>1318</v>
      </c>
      <c r="Z6" s="65">
        <v>355</v>
      </c>
      <c r="AA6" s="65">
        <v>2826</v>
      </c>
      <c r="AB6" s="65">
        <v>156</v>
      </c>
      <c r="AC6" s="65">
        <v>85</v>
      </c>
      <c r="AD6" s="65">
        <v>284</v>
      </c>
      <c r="AE6" s="65">
        <v>83</v>
      </c>
      <c r="AF6" s="65"/>
      <c r="AG6" s="65">
        <v>0</v>
      </c>
      <c r="AH6" s="65">
        <v>0</v>
      </c>
      <c r="AI6" s="65">
        <v>0</v>
      </c>
      <c r="AJ6" s="65">
        <v>0</v>
      </c>
      <c r="AK6" s="65">
        <v>81</v>
      </c>
      <c r="AL6" s="65">
        <v>424</v>
      </c>
      <c r="AM6" s="65">
        <v>400</v>
      </c>
      <c r="AN6" s="65">
        <v>657</v>
      </c>
      <c r="AO6" s="65">
        <v>0</v>
      </c>
      <c r="AP6" s="65">
        <v>60</v>
      </c>
      <c r="AQ6" s="65">
        <v>421</v>
      </c>
      <c r="AR6" s="65">
        <v>0</v>
      </c>
      <c r="AS6" s="79">
        <v>403</v>
      </c>
      <c r="AT6" s="65">
        <v>0</v>
      </c>
      <c r="AU6" s="65">
        <v>5</v>
      </c>
      <c r="AV6" s="65">
        <v>1</v>
      </c>
      <c r="AW6" s="65">
        <v>214</v>
      </c>
      <c r="AX6" s="65">
        <v>0</v>
      </c>
      <c r="AY6" s="65">
        <v>366</v>
      </c>
    </row>
    <row r="7" spans="1:52" x14ac:dyDescent="0.2">
      <c r="A7" s="25" t="s">
        <v>44</v>
      </c>
      <c r="B7" s="65">
        <v>72</v>
      </c>
      <c r="C7" s="65">
        <v>53</v>
      </c>
      <c r="D7" s="3"/>
      <c r="E7" s="65">
        <v>60</v>
      </c>
      <c r="F7" s="65">
        <v>99</v>
      </c>
      <c r="G7" s="65">
        <v>51</v>
      </c>
      <c r="H7" s="65">
        <v>400</v>
      </c>
      <c r="I7" s="65">
        <v>762</v>
      </c>
      <c r="J7" s="76"/>
      <c r="K7" s="65">
        <v>159</v>
      </c>
      <c r="L7" s="65">
        <v>22</v>
      </c>
      <c r="M7" s="65">
        <v>112</v>
      </c>
      <c r="N7" s="65">
        <v>21</v>
      </c>
      <c r="O7" s="65">
        <v>66</v>
      </c>
      <c r="P7" s="65">
        <v>85</v>
      </c>
      <c r="Q7" s="65">
        <v>225</v>
      </c>
      <c r="R7" s="65"/>
      <c r="S7" s="65">
        <v>434</v>
      </c>
      <c r="T7" s="76"/>
      <c r="U7" s="65">
        <v>20</v>
      </c>
      <c r="V7" s="65">
        <v>167</v>
      </c>
      <c r="W7" s="65">
        <v>103</v>
      </c>
      <c r="X7" s="65">
        <v>0</v>
      </c>
      <c r="Y7" s="65">
        <v>488</v>
      </c>
      <c r="Z7" s="65">
        <v>107</v>
      </c>
      <c r="AA7" s="65">
        <v>1032</v>
      </c>
      <c r="AB7" s="65">
        <v>661</v>
      </c>
      <c r="AC7" s="65">
        <v>12</v>
      </c>
      <c r="AD7" s="65">
        <v>0</v>
      </c>
      <c r="AE7" s="65">
        <v>52</v>
      </c>
      <c r="AF7" s="65"/>
      <c r="AG7" s="65">
        <v>0</v>
      </c>
      <c r="AH7" s="65">
        <v>0</v>
      </c>
      <c r="AI7" s="65">
        <v>0</v>
      </c>
      <c r="AJ7" s="65">
        <v>0</v>
      </c>
      <c r="AK7" s="65">
        <v>34</v>
      </c>
      <c r="AL7" s="65">
        <v>436</v>
      </c>
      <c r="AM7" s="65">
        <v>45</v>
      </c>
      <c r="AN7" s="65">
        <v>382</v>
      </c>
      <c r="AO7" s="65">
        <v>0</v>
      </c>
      <c r="AP7" s="65">
        <v>37</v>
      </c>
      <c r="AQ7" s="65">
        <v>320</v>
      </c>
      <c r="AR7" s="65">
        <v>0</v>
      </c>
      <c r="AS7" s="79">
        <v>227</v>
      </c>
      <c r="AT7" s="65">
        <v>5</v>
      </c>
      <c r="AU7" s="65">
        <v>7</v>
      </c>
      <c r="AV7" s="65">
        <v>1</v>
      </c>
      <c r="AW7" s="65">
        <v>94</v>
      </c>
      <c r="AX7" s="65">
        <v>0</v>
      </c>
      <c r="AY7" s="65">
        <v>244</v>
      </c>
    </row>
    <row r="8" spans="1:52" x14ac:dyDescent="0.2">
      <c r="A8" s="25" t="s">
        <v>45</v>
      </c>
      <c r="B8" s="65">
        <v>57</v>
      </c>
      <c r="C8" s="65">
        <v>9</v>
      </c>
      <c r="D8" s="3"/>
      <c r="E8" s="65">
        <v>44</v>
      </c>
      <c r="F8" s="65">
        <v>17</v>
      </c>
      <c r="G8" s="65">
        <v>2</v>
      </c>
      <c r="H8" s="65">
        <v>235</v>
      </c>
      <c r="I8" s="65">
        <v>213</v>
      </c>
      <c r="J8" s="76"/>
      <c r="K8" s="65">
        <v>61</v>
      </c>
      <c r="L8" s="65">
        <v>8</v>
      </c>
      <c r="M8" s="65">
        <v>42</v>
      </c>
      <c r="N8" s="65">
        <v>22</v>
      </c>
      <c r="O8" s="65">
        <v>53</v>
      </c>
      <c r="P8" s="65">
        <v>72</v>
      </c>
      <c r="Q8" s="65">
        <v>152</v>
      </c>
      <c r="R8" s="65"/>
      <c r="S8" s="65">
        <v>128</v>
      </c>
      <c r="T8" s="76"/>
      <c r="U8" s="65">
        <v>19</v>
      </c>
      <c r="V8" s="65">
        <v>76</v>
      </c>
      <c r="W8" s="65">
        <v>64</v>
      </c>
      <c r="X8" s="65">
        <v>0</v>
      </c>
      <c r="Y8" s="65">
        <v>266</v>
      </c>
      <c r="Z8" s="65">
        <v>55</v>
      </c>
      <c r="AA8" s="65">
        <v>583</v>
      </c>
      <c r="AB8" s="65">
        <v>425</v>
      </c>
      <c r="AC8" s="65">
        <v>20</v>
      </c>
      <c r="AD8" s="65">
        <v>0</v>
      </c>
      <c r="AE8" s="65">
        <v>24</v>
      </c>
      <c r="AF8" s="65"/>
      <c r="AG8" s="65">
        <v>0</v>
      </c>
      <c r="AH8" s="65">
        <v>0</v>
      </c>
      <c r="AI8" s="65">
        <v>0</v>
      </c>
      <c r="AJ8" s="65">
        <v>0</v>
      </c>
      <c r="AK8" s="65">
        <v>12</v>
      </c>
      <c r="AL8" s="65">
        <v>361</v>
      </c>
      <c r="AM8" s="65">
        <v>38</v>
      </c>
      <c r="AN8" s="65">
        <v>63</v>
      </c>
      <c r="AO8" s="65">
        <v>0</v>
      </c>
      <c r="AP8" s="65">
        <v>9</v>
      </c>
      <c r="AQ8" s="65">
        <v>383</v>
      </c>
      <c r="AR8" s="65">
        <v>0</v>
      </c>
      <c r="AS8" s="79">
        <v>96</v>
      </c>
      <c r="AT8" s="65">
        <v>0</v>
      </c>
      <c r="AU8" s="65">
        <v>7</v>
      </c>
      <c r="AV8" s="65">
        <v>1</v>
      </c>
      <c r="AW8" s="65">
        <v>32</v>
      </c>
      <c r="AX8" s="65">
        <v>0</v>
      </c>
      <c r="AY8" s="65">
        <v>78</v>
      </c>
    </row>
    <row r="9" spans="1:52" x14ac:dyDescent="0.2">
      <c r="A9" s="25" t="s">
        <v>46</v>
      </c>
      <c r="B9" s="65">
        <v>15</v>
      </c>
      <c r="C9" s="65">
        <v>9</v>
      </c>
      <c r="D9" s="3"/>
      <c r="E9" s="65">
        <v>20</v>
      </c>
      <c r="F9" s="65">
        <v>15</v>
      </c>
      <c r="G9" s="65">
        <v>3</v>
      </c>
      <c r="H9" s="65">
        <v>15</v>
      </c>
      <c r="I9" s="65">
        <v>24</v>
      </c>
      <c r="J9" s="76"/>
      <c r="K9" s="65">
        <v>0</v>
      </c>
      <c r="L9" s="65">
        <v>8</v>
      </c>
      <c r="M9" s="65">
        <v>11</v>
      </c>
      <c r="N9" s="65">
        <v>7</v>
      </c>
      <c r="O9" s="65">
        <v>23</v>
      </c>
      <c r="P9" s="65">
        <v>34</v>
      </c>
      <c r="Q9" s="65">
        <v>14</v>
      </c>
      <c r="R9" s="65"/>
      <c r="S9" s="65">
        <v>3</v>
      </c>
      <c r="T9" s="76"/>
      <c r="U9" s="65">
        <v>14</v>
      </c>
      <c r="V9" s="65">
        <v>6</v>
      </c>
      <c r="W9" s="65">
        <v>7</v>
      </c>
      <c r="X9" s="65">
        <v>0</v>
      </c>
      <c r="Y9" s="65">
        <v>59</v>
      </c>
      <c r="Z9" s="65">
        <v>1</v>
      </c>
      <c r="AA9" s="65">
        <v>264</v>
      </c>
      <c r="AB9" s="65">
        <v>201</v>
      </c>
      <c r="AC9" s="65">
        <v>2</v>
      </c>
      <c r="AD9" s="65">
        <v>0</v>
      </c>
      <c r="AE9" s="65">
        <v>11</v>
      </c>
      <c r="AF9" s="65"/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298</v>
      </c>
      <c r="AM9" s="65">
        <v>0</v>
      </c>
      <c r="AN9" s="65">
        <v>740</v>
      </c>
      <c r="AO9" s="65">
        <v>0</v>
      </c>
      <c r="AP9" s="65">
        <v>0</v>
      </c>
      <c r="AQ9" s="65">
        <v>344</v>
      </c>
      <c r="AR9" s="65">
        <v>0</v>
      </c>
      <c r="AS9" s="79">
        <v>0</v>
      </c>
      <c r="AT9" s="65">
        <v>0</v>
      </c>
      <c r="AU9" s="65">
        <v>5</v>
      </c>
      <c r="AV9" s="65">
        <v>0</v>
      </c>
      <c r="AW9" s="65">
        <v>11</v>
      </c>
      <c r="AX9" s="65">
        <v>0</v>
      </c>
      <c r="AY9" s="65">
        <v>1</v>
      </c>
    </row>
    <row r="10" spans="1:52" x14ac:dyDescent="0.2">
      <c r="A10" s="25" t="s">
        <v>47</v>
      </c>
      <c r="B10" s="65">
        <v>7</v>
      </c>
      <c r="C10" s="65">
        <v>9</v>
      </c>
      <c r="D10" s="3"/>
      <c r="E10" s="65">
        <v>17</v>
      </c>
      <c r="F10" s="65">
        <v>15</v>
      </c>
      <c r="G10" s="65">
        <v>2</v>
      </c>
      <c r="H10" s="65">
        <v>7</v>
      </c>
      <c r="I10" s="65">
        <v>11</v>
      </c>
      <c r="J10" s="76"/>
      <c r="K10" s="65">
        <v>9</v>
      </c>
      <c r="L10" s="65">
        <v>7</v>
      </c>
      <c r="M10" s="65">
        <v>11</v>
      </c>
      <c r="N10" s="65">
        <v>8</v>
      </c>
      <c r="O10" s="65">
        <v>16</v>
      </c>
      <c r="P10" s="65">
        <v>24</v>
      </c>
      <c r="Q10" s="65">
        <v>2</v>
      </c>
      <c r="R10" s="65"/>
      <c r="S10" s="65">
        <v>0</v>
      </c>
      <c r="T10" s="76"/>
      <c r="U10" s="65">
        <v>17</v>
      </c>
      <c r="V10" s="65">
        <v>7</v>
      </c>
      <c r="W10" s="65">
        <v>10</v>
      </c>
      <c r="X10" s="65">
        <v>0</v>
      </c>
      <c r="Y10" s="65">
        <v>34</v>
      </c>
      <c r="Z10" s="65">
        <v>1</v>
      </c>
      <c r="AA10" s="65">
        <v>187</v>
      </c>
      <c r="AB10" s="65">
        <v>138</v>
      </c>
      <c r="AC10" s="65">
        <v>0</v>
      </c>
      <c r="AD10" s="65">
        <v>0</v>
      </c>
      <c r="AE10" s="65">
        <v>5</v>
      </c>
      <c r="AF10" s="65"/>
      <c r="AG10" s="65">
        <v>0</v>
      </c>
      <c r="AH10" s="65">
        <v>273</v>
      </c>
      <c r="AI10" s="65">
        <v>0</v>
      </c>
      <c r="AJ10" s="65">
        <v>0</v>
      </c>
      <c r="AK10" s="65">
        <v>0</v>
      </c>
      <c r="AL10" s="65">
        <v>248</v>
      </c>
      <c r="AM10" s="65">
        <v>3</v>
      </c>
      <c r="AN10" s="65">
        <v>632</v>
      </c>
      <c r="AO10" s="65">
        <v>0</v>
      </c>
      <c r="AP10" s="65">
        <v>0</v>
      </c>
      <c r="AQ10" s="65">
        <v>212</v>
      </c>
      <c r="AR10" s="65">
        <v>0</v>
      </c>
      <c r="AS10" s="79">
        <v>8</v>
      </c>
      <c r="AT10" s="65">
        <v>0</v>
      </c>
      <c r="AU10" s="65">
        <v>6</v>
      </c>
      <c r="AV10" s="65">
        <v>1</v>
      </c>
      <c r="AW10" s="65">
        <v>0</v>
      </c>
      <c r="AX10" s="65">
        <v>0</v>
      </c>
      <c r="AY10" s="65">
        <v>0</v>
      </c>
    </row>
    <row r="11" spans="1:52" x14ac:dyDescent="0.2">
      <c r="A11" s="25" t="s">
        <v>48</v>
      </c>
      <c r="B11" s="65">
        <v>8</v>
      </c>
      <c r="C11" s="65">
        <v>8</v>
      </c>
      <c r="D11" s="3"/>
      <c r="E11" s="65">
        <v>16</v>
      </c>
      <c r="F11" s="65">
        <v>16</v>
      </c>
      <c r="G11" s="65">
        <v>0</v>
      </c>
      <c r="H11" s="65">
        <v>8</v>
      </c>
      <c r="I11" s="65">
        <v>14</v>
      </c>
      <c r="J11" s="76"/>
      <c r="K11" s="65">
        <v>0</v>
      </c>
      <c r="L11" s="65">
        <v>8</v>
      </c>
      <c r="M11" s="65">
        <v>9</v>
      </c>
      <c r="N11" s="65">
        <v>6</v>
      </c>
      <c r="O11" s="65">
        <v>21</v>
      </c>
      <c r="P11" s="65">
        <v>24</v>
      </c>
      <c r="Q11" s="65">
        <v>1</v>
      </c>
      <c r="R11" s="65"/>
      <c r="S11" s="65">
        <v>2</v>
      </c>
      <c r="T11" s="76"/>
      <c r="U11" s="65">
        <v>13</v>
      </c>
      <c r="V11" s="65">
        <v>7</v>
      </c>
      <c r="W11" s="65">
        <v>8</v>
      </c>
      <c r="X11" s="65">
        <v>0</v>
      </c>
      <c r="Y11" s="65">
        <v>43</v>
      </c>
      <c r="Z11" s="65">
        <v>0</v>
      </c>
      <c r="AA11" s="65">
        <v>237</v>
      </c>
      <c r="AB11" s="65">
        <v>171</v>
      </c>
      <c r="AC11" s="65">
        <v>0</v>
      </c>
      <c r="AD11" s="65">
        <v>0</v>
      </c>
      <c r="AE11" s="65">
        <v>11</v>
      </c>
      <c r="AF11" s="65"/>
      <c r="AG11" s="65">
        <v>0</v>
      </c>
      <c r="AH11" s="65">
        <v>0</v>
      </c>
      <c r="AI11" s="65">
        <v>235</v>
      </c>
      <c r="AJ11" s="65">
        <v>0</v>
      </c>
      <c r="AK11" s="65">
        <v>0</v>
      </c>
      <c r="AL11" s="65">
        <v>236</v>
      </c>
      <c r="AM11" s="65">
        <v>0</v>
      </c>
      <c r="AN11" s="65">
        <v>0</v>
      </c>
      <c r="AO11" s="65">
        <v>0</v>
      </c>
      <c r="AP11" s="65">
        <v>0</v>
      </c>
      <c r="AQ11" s="65">
        <v>297</v>
      </c>
      <c r="AR11" s="65">
        <v>0</v>
      </c>
      <c r="AS11" s="79">
        <v>0</v>
      </c>
      <c r="AT11" s="65">
        <v>0</v>
      </c>
      <c r="AU11" s="65">
        <v>7</v>
      </c>
      <c r="AV11" s="65">
        <v>0</v>
      </c>
      <c r="AW11" s="65">
        <v>1</v>
      </c>
      <c r="AX11" s="65">
        <v>0</v>
      </c>
      <c r="AY11" s="65">
        <v>0</v>
      </c>
    </row>
    <row r="12" spans="1:52" x14ac:dyDescent="0.2">
      <c r="A12" s="25" t="s">
        <v>49</v>
      </c>
      <c r="B12" s="65">
        <v>7</v>
      </c>
      <c r="C12" s="65">
        <v>8</v>
      </c>
      <c r="D12" s="3"/>
      <c r="E12" s="65">
        <v>16</v>
      </c>
      <c r="F12" s="65">
        <v>14</v>
      </c>
      <c r="G12" s="65">
        <v>6</v>
      </c>
      <c r="H12" s="65">
        <v>7</v>
      </c>
      <c r="I12" s="65">
        <v>14</v>
      </c>
      <c r="J12" s="76"/>
      <c r="K12" s="65">
        <v>0</v>
      </c>
      <c r="L12" s="65">
        <v>5</v>
      </c>
      <c r="M12" s="65">
        <v>12</v>
      </c>
      <c r="N12" s="77">
        <v>7</v>
      </c>
      <c r="O12" s="77">
        <v>17</v>
      </c>
      <c r="P12" s="77">
        <v>25</v>
      </c>
      <c r="Q12" s="77">
        <v>2</v>
      </c>
      <c r="R12" s="77"/>
      <c r="S12" s="77">
        <v>20</v>
      </c>
      <c r="T12" s="78"/>
      <c r="U12" s="77">
        <v>12</v>
      </c>
      <c r="V12" s="77">
        <v>5</v>
      </c>
      <c r="W12" s="77">
        <v>8</v>
      </c>
      <c r="X12" s="77">
        <v>0</v>
      </c>
      <c r="Y12" s="77">
        <v>35</v>
      </c>
      <c r="Z12" s="77">
        <v>1</v>
      </c>
      <c r="AA12" s="77">
        <v>195</v>
      </c>
      <c r="AB12" s="77">
        <v>149</v>
      </c>
      <c r="AC12" s="65">
        <v>8250</v>
      </c>
      <c r="AD12" s="65">
        <v>5630</v>
      </c>
      <c r="AE12" s="65">
        <v>26</v>
      </c>
      <c r="AF12" s="65"/>
      <c r="AG12" s="65">
        <v>25</v>
      </c>
      <c r="AH12" s="65">
        <v>0</v>
      </c>
      <c r="AI12" s="65">
        <v>8634</v>
      </c>
      <c r="AJ12" s="65">
        <v>1607</v>
      </c>
      <c r="AK12" s="65">
        <v>0</v>
      </c>
      <c r="AL12" s="65">
        <v>6282</v>
      </c>
      <c r="AM12" s="65">
        <v>9704</v>
      </c>
      <c r="AN12" s="65">
        <v>3293</v>
      </c>
      <c r="AO12" s="65">
        <v>361</v>
      </c>
      <c r="AP12" s="65">
        <v>1441</v>
      </c>
      <c r="AQ12" s="65">
        <v>373</v>
      </c>
      <c r="AR12" s="65">
        <v>0</v>
      </c>
      <c r="AS12" s="79">
        <v>0</v>
      </c>
      <c r="AT12" s="65">
        <v>564</v>
      </c>
      <c r="AU12" s="65">
        <v>8</v>
      </c>
      <c r="AV12" s="65">
        <v>4</v>
      </c>
      <c r="AW12" s="65">
        <v>1</v>
      </c>
      <c r="AX12" s="65">
        <v>2</v>
      </c>
      <c r="AY12" s="65">
        <v>0</v>
      </c>
    </row>
    <row r="13" spans="1:52" x14ac:dyDescent="0.2">
      <c r="A13" s="25" t="s">
        <v>50</v>
      </c>
      <c r="B13" s="65">
        <v>7</v>
      </c>
      <c r="C13" s="65">
        <v>9</v>
      </c>
      <c r="D13" s="3"/>
      <c r="E13" s="65">
        <v>14</v>
      </c>
      <c r="F13" s="65">
        <v>14</v>
      </c>
      <c r="G13" s="65">
        <v>2</v>
      </c>
      <c r="H13" s="65">
        <v>7</v>
      </c>
      <c r="I13" s="65">
        <v>12</v>
      </c>
      <c r="J13" s="76"/>
      <c r="K13" s="65">
        <v>0</v>
      </c>
      <c r="L13" s="65">
        <v>7</v>
      </c>
      <c r="M13" s="65">
        <v>10</v>
      </c>
      <c r="N13" s="77">
        <v>6</v>
      </c>
      <c r="O13" s="77">
        <v>19</v>
      </c>
      <c r="P13" s="77">
        <v>25</v>
      </c>
      <c r="Q13" s="77">
        <v>3</v>
      </c>
      <c r="R13" s="77"/>
      <c r="S13" s="77">
        <v>258</v>
      </c>
      <c r="T13" s="78"/>
      <c r="U13" s="77">
        <v>16</v>
      </c>
      <c r="V13" s="77">
        <v>8</v>
      </c>
      <c r="W13" s="77">
        <v>7</v>
      </c>
      <c r="X13" s="77">
        <v>0</v>
      </c>
      <c r="Y13" s="77">
        <v>37</v>
      </c>
      <c r="Z13" s="77">
        <v>0</v>
      </c>
      <c r="AA13" s="77">
        <v>209</v>
      </c>
      <c r="AB13" s="77">
        <v>158</v>
      </c>
      <c r="AC13" s="65">
        <v>39834</v>
      </c>
      <c r="AD13" s="65">
        <v>42684</v>
      </c>
      <c r="AE13" s="65">
        <v>100</v>
      </c>
      <c r="AF13" s="65"/>
      <c r="AG13" s="65">
        <v>33948</v>
      </c>
      <c r="AH13" s="65">
        <v>73241</v>
      </c>
      <c r="AI13" s="65">
        <v>55186</v>
      </c>
      <c r="AJ13" s="65">
        <v>14136</v>
      </c>
      <c r="AK13" s="65">
        <v>4</v>
      </c>
      <c r="AL13" s="65">
        <v>6858</v>
      </c>
      <c r="AM13" s="65">
        <v>187114</v>
      </c>
      <c r="AN13" s="65">
        <v>77018</v>
      </c>
      <c r="AO13" s="65">
        <v>89601</v>
      </c>
      <c r="AP13" s="65">
        <v>55745</v>
      </c>
      <c r="AQ13" s="65">
        <v>30925</v>
      </c>
      <c r="AR13" s="65">
        <v>41432</v>
      </c>
      <c r="AS13" s="79">
        <v>1861</v>
      </c>
      <c r="AT13" s="65">
        <v>28513</v>
      </c>
      <c r="AU13" s="65">
        <v>8</v>
      </c>
      <c r="AV13" s="65">
        <v>45</v>
      </c>
      <c r="AW13" s="65">
        <v>0</v>
      </c>
      <c r="AX13" s="65">
        <v>11322</v>
      </c>
      <c r="AY13" s="65">
        <v>0</v>
      </c>
    </row>
    <row r="14" spans="1:52" x14ac:dyDescent="0.2">
      <c r="A14" s="25" t="s">
        <v>51</v>
      </c>
      <c r="B14" s="65">
        <v>35</v>
      </c>
      <c r="C14" s="65">
        <v>52</v>
      </c>
      <c r="D14" s="3"/>
      <c r="E14" s="65">
        <v>20</v>
      </c>
      <c r="F14" s="65">
        <v>16</v>
      </c>
      <c r="G14" s="65">
        <v>2</v>
      </c>
      <c r="H14" s="65">
        <v>281</v>
      </c>
      <c r="I14" s="65">
        <v>227</v>
      </c>
      <c r="J14" s="76"/>
      <c r="K14" s="65">
        <v>58</v>
      </c>
      <c r="L14" s="65">
        <v>7</v>
      </c>
      <c r="M14" s="65">
        <v>18</v>
      </c>
      <c r="N14" s="77">
        <v>8</v>
      </c>
      <c r="O14" s="77">
        <v>17</v>
      </c>
      <c r="P14" s="77">
        <v>54</v>
      </c>
      <c r="Q14" s="77">
        <v>180</v>
      </c>
      <c r="R14" s="77"/>
      <c r="S14" s="77">
        <v>450</v>
      </c>
      <c r="T14" s="78"/>
      <c r="U14" s="77">
        <v>16</v>
      </c>
      <c r="V14" s="77">
        <v>54</v>
      </c>
      <c r="W14" s="77">
        <v>38</v>
      </c>
      <c r="X14" s="77">
        <v>0</v>
      </c>
      <c r="Y14" s="77">
        <v>210</v>
      </c>
      <c r="Z14" s="77">
        <v>46</v>
      </c>
      <c r="AA14" s="77">
        <v>644</v>
      </c>
      <c r="AB14" s="77">
        <v>346</v>
      </c>
      <c r="AC14" s="65">
        <v>10626</v>
      </c>
      <c r="AD14" s="65">
        <v>55531</v>
      </c>
      <c r="AE14" s="65">
        <v>112</v>
      </c>
      <c r="AF14" s="65"/>
      <c r="AG14" s="65">
        <v>65917</v>
      </c>
      <c r="AH14" s="65">
        <v>143317</v>
      </c>
      <c r="AI14" s="65">
        <v>69340</v>
      </c>
      <c r="AJ14" s="65">
        <v>49067</v>
      </c>
      <c r="AK14" s="65">
        <v>2305</v>
      </c>
      <c r="AL14" s="65">
        <v>136994</v>
      </c>
      <c r="AM14" s="65">
        <v>169674</v>
      </c>
      <c r="AN14" s="65">
        <v>96023</v>
      </c>
      <c r="AO14" s="65">
        <v>155820</v>
      </c>
      <c r="AP14" s="65">
        <v>134411</v>
      </c>
      <c r="AQ14" s="65">
        <v>76832</v>
      </c>
      <c r="AR14" s="65">
        <v>61855</v>
      </c>
      <c r="AS14" s="79">
        <v>242169</v>
      </c>
      <c r="AT14" s="65">
        <v>75531</v>
      </c>
      <c r="AU14" s="65">
        <v>10</v>
      </c>
      <c r="AV14" s="65">
        <v>60</v>
      </c>
      <c r="AW14" s="65">
        <v>1</v>
      </c>
      <c r="AX14" s="65">
        <v>30267</v>
      </c>
      <c r="AY14" s="76">
        <v>36</v>
      </c>
    </row>
    <row r="15" spans="1:52" x14ac:dyDescent="0.2">
      <c r="A15" s="25" t="s">
        <v>52</v>
      </c>
      <c r="B15" s="65">
        <v>61</v>
      </c>
      <c r="C15" s="65">
        <v>55</v>
      </c>
      <c r="D15" s="3"/>
      <c r="E15" s="65">
        <v>16</v>
      </c>
      <c r="F15" s="65">
        <v>77</v>
      </c>
      <c r="G15" s="65">
        <v>0</v>
      </c>
      <c r="H15" s="65">
        <v>392</v>
      </c>
      <c r="I15" s="65">
        <v>358</v>
      </c>
      <c r="J15" s="76"/>
      <c r="K15" s="65">
        <v>110</v>
      </c>
      <c r="L15" s="65">
        <v>10</v>
      </c>
      <c r="M15" s="65">
        <v>49</v>
      </c>
      <c r="N15" s="77">
        <v>6</v>
      </c>
      <c r="O15" s="77">
        <v>75</v>
      </c>
      <c r="P15" s="77">
        <v>85</v>
      </c>
      <c r="Q15" s="77">
        <v>232</v>
      </c>
      <c r="R15" s="77"/>
      <c r="S15" s="77">
        <v>412</v>
      </c>
      <c r="T15" s="78"/>
      <c r="U15" s="77">
        <v>16</v>
      </c>
      <c r="V15" s="77">
        <v>148</v>
      </c>
      <c r="W15" s="77">
        <v>83</v>
      </c>
      <c r="X15" s="77">
        <v>9741</v>
      </c>
      <c r="Y15" s="77">
        <v>555</v>
      </c>
      <c r="Z15" s="77">
        <v>117</v>
      </c>
      <c r="AA15" s="77">
        <v>1189</v>
      </c>
      <c r="AB15" s="77">
        <v>615</v>
      </c>
      <c r="AC15" s="65">
        <v>5820</v>
      </c>
      <c r="AD15" s="65">
        <v>20453</v>
      </c>
      <c r="AE15" s="65">
        <v>60</v>
      </c>
      <c r="AF15" s="65"/>
      <c r="AG15" s="65">
        <v>21385</v>
      </c>
      <c r="AH15" s="65">
        <v>53939</v>
      </c>
      <c r="AI15" s="65">
        <v>17617</v>
      </c>
      <c r="AJ15" s="65">
        <v>13321</v>
      </c>
      <c r="AK15" s="65">
        <v>8111</v>
      </c>
      <c r="AL15" s="65">
        <v>0</v>
      </c>
      <c r="AM15" s="65">
        <v>44866</v>
      </c>
      <c r="AN15" s="65">
        <v>29277</v>
      </c>
      <c r="AO15" s="65">
        <v>33503</v>
      </c>
      <c r="AP15" s="65">
        <v>62454</v>
      </c>
      <c r="AQ15" s="65">
        <v>5009</v>
      </c>
      <c r="AR15" s="65">
        <v>23136</v>
      </c>
      <c r="AS15" s="79">
        <v>45321</v>
      </c>
      <c r="AT15" s="65">
        <v>18547</v>
      </c>
      <c r="AU15" s="65">
        <v>11</v>
      </c>
      <c r="AV15" s="65">
        <v>45</v>
      </c>
      <c r="AW15" s="65">
        <v>0</v>
      </c>
      <c r="AX15" s="65">
        <v>18929</v>
      </c>
      <c r="AY15" s="76">
        <v>122</v>
      </c>
    </row>
    <row r="16" spans="1:52" ht="13.5" thickBot="1" x14ac:dyDescent="0.25">
      <c r="A16" s="26" t="s">
        <v>62</v>
      </c>
      <c r="B16" s="55">
        <f>SUM(B4:B15)/10</f>
        <v>78</v>
      </c>
      <c r="C16" s="56">
        <f>SUM(C4:C15)/10</f>
        <v>66.900000000000006</v>
      </c>
      <c r="D16" s="56"/>
      <c r="E16" s="57">
        <f>SUM(E4:E15)/10</f>
        <v>53.5</v>
      </c>
      <c r="F16" s="58">
        <f t="shared" ref="F16:AZ16" si="0">SUM(F4:F15)/10</f>
        <v>132.4</v>
      </c>
      <c r="G16" s="27">
        <f t="shared" si="0"/>
        <v>27.3</v>
      </c>
      <c r="H16" s="58">
        <f t="shared" si="0"/>
        <v>294.3</v>
      </c>
      <c r="I16" s="59">
        <f t="shared" si="0"/>
        <v>443.2</v>
      </c>
      <c r="J16" s="60">
        <f t="shared" si="0"/>
        <v>0</v>
      </c>
      <c r="K16" s="58">
        <f t="shared" si="0"/>
        <v>129.4</v>
      </c>
      <c r="L16" s="58">
        <f t="shared" si="0"/>
        <v>12.3</v>
      </c>
      <c r="M16" s="60">
        <f t="shared" si="0"/>
        <v>145.80000000000001</v>
      </c>
      <c r="N16" s="58">
        <v>7</v>
      </c>
      <c r="O16" s="59">
        <f t="shared" si="0"/>
        <v>121.1</v>
      </c>
      <c r="P16" s="60">
        <f t="shared" si="0"/>
        <v>94</v>
      </c>
      <c r="Q16" s="60">
        <f t="shared" si="0"/>
        <v>262.10000000000002</v>
      </c>
      <c r="R16" s="60">
        <f t="shared" si="0"/>
        <v>0</v>
      </c>
      <c r="S16" s="60">
        <f t="shared" si="0"/>
        <v>524</v>
      </c>
      <c r="T16" s="60">
        <f t="shared" si="0"/>
        <v>0</v>
      </c>
      <c r="U16" s="57">
        <f t="shared" si="0"/>
        <v>20.8</v>
      </c>
      <c r="V16" s="60">
        <f t="shared" si="0"/>
        <v>188.2</v>
      </c>
      <c r="W16" s="60">
        <v>83</v>
      </c>
      <c r="X16" s="60">
        <f t="shared" si="0"/>
        <v>974.1</v>
      </c>
      <c r="Y16" s="57">
        <f t="shared" si="0"/>
        <v>665.3</v>
      </c>
      <c r="Z16" s="60">
        <f t="shared" si="0"/>
        <v>150.5</v>
      </c>
      <c r="AA16" s="60">
        <f t="shared" si="0"/>
        <v>1547.3</v>
      </c>
      <c r="AB16" s="60">
        <f t="shared" si="0"/>
        <v>691.9</v>
      </c>
      <c r="AC16" s="73">
        <f t="shared" si="0"/>
        <v>6482.2</v>
      </c>
      <c r="AD16" s="57">
        <f t="shared" si="0"/>
        <v>12548.2</v>
      </c>
      <c r="AE16" s="61">
        <f t="shared" si="0"/>
        <v>85.4</v>
      </c>
      <c r="AF16" s="60">
        <f t="shared" si="0"/>
        <v>0</v>
      </c>
      <c r="AG16" s="57">
        <f t="shared" si="0"/>
        <v>12132.7</v>
      </c>
      <c r="AH16" s="57">
        <f t="shared" si="0"/>
        <v>27133.599999999999</v>
      </c>
      <c r="AI16" s="60">
        <f t="shared" si="0"/>
        <v>15101.2</v>
      </c>
      <c r="AJ16" s="60">
        <f t="shared" si="0"/>
        <v>7813.1</v>
      </c>
      <c r="AK16" s="60">
        <f t="shared" si="0"/>
        <v>1075.9000000000001</v>
      </c>
      <c r="AL16" s="60">
        <f t="shared" si="0"/>
        <v>15334.8</v>
      </c>
      <c r="AM16" s="60">
        <f t="shared" si="0"/>
        <v>41316.5</v>
      </c>
      <c r="AN16" s="57">
        <f t="shared" si="0"/>
        <v>21029.4</v>
      </c>
      <c r="AO16" s="60">
        <f t="shared" si="0"/>
        <v>28124.400000000001</v>
      </c>
      <c r="AP16" s="60">
        <f t="shared" si="0"/>
        <v>25427.1</v>
      </c>
      <c r="AQ16" s="57">
        <f t="shared" si="0"/>
        <v>11625.1</v>
      </c>
      <c r="AR16" s="60">
        <f t="shared" si="0"/>
        <v>12724.7</v>
      </c>
      <c r="AS16" s="80">
        <f t="shared" si="0"/>
        <v>29219.7</v>
      </c>
      <c r="AT16" s="58">
        <f t="shared" si="0"/>
        <v>17408.400000000001</v>
      </c>
      <c r="AU16" s="58">
        <f t="shared" si="0"/>
        <v>8.6</v>
      </c>
      <c r="AV16" s="63">
        <f t="shared" si="0"/>
        <v>17.600000000000001</v>
      </c>
      <c r="AW16" s="63">
        <f t="shared" si="0"/>
        <v>84.5</v>
      </c>
      <c r="AX16" s="63">
        <f t="shared" si="0"/>
        <v>6052</v>
      </c>
      <c r="AY16" s="63">
        <f t="shared" si="0"/>
        <v>189.9</v>
      </c>
      <c r="AZ16" s="64">
        <f t="shared" si="0"/>
        <v>0</v>
      </c>
    </row>
    <row r="17" spans="1:52" ht="13.5" thickTop="1" x14ac:dyDescent="0.2">
      <c r="B17" s="28"/>
      <c r="C17" s="29"/>
      <c r="D17" s="29"/>
      <c r="E17" s="25"/>
      <c r="AM17" s="3"/>
      <c r="AS17" s="81"/>
      <c r="AT17" s="30"/>
    </row>
    <row r="18" spans="1:52" x14ac:dyDescent="0.2">
      <c r="A18" s="25">
        <v>2011</v>
      </c>
      <c r="B18" s="31" t="s">
        <v>53</v>
      </c>
      <c r="C18" s="31" t="s">
        <v>53</v>
      </c>
      <c r="D18" s="31" t="s">
        <v>53</v>
      </c>
      <c r="E18" s="31" t="s">
        <v>53</v>
      </c>
      <c r="F18" s="31" t="s">
        <v>53</v>
      </c>
      <c r="G18" s="31" t="s">
        <v>53</v>
      </c>
      <c r="H18" s="31" t="s">
        <v>53</v>
      </c>
      <c r="I18" s="31" t="s">
        <v>53</v>
      </c>
      <c r="J18" s="31" t="s">
        <v>53</v>
      </c>
      <c r="K18" s="31" t="s">
        <v>53</v>
      </c>
      <c r="L18" s="31" t="s">
        <v>53</v>
      </c>
      <c r="M18" s="31" t="s">
        <v>53</v>
      </c>
      <c r="N18" s="31" t="s">
        <v>53</v>
      </c>
      <c r="O18" s="31" t="s">
        <v>53</v>
      </c>
      <c r="P18" s="31" t="s">
        <v>53</v>
      </c>
      <c r="Q18" s="31" t="s">
        <v>53</v>
      </c>
      <c r="R18" s="31" t="s">
        <v>53</v>
      </c>
      <c r="S18" s="31" t="s">
        <v>53</v>
      </c>
      <c r="T18" s="31" t="s">
        <v>53</v>
      </c>
      <c r="U18" s="31" t="s">
        <v>53</v>
      </c>
      <c r="V18" s="31" t="s">
        <v>53</v>
      </c>
      <c r="W18" s="31" t="s">
        <v>53</v>
      </c>
      <c r="X18" s="31" t="s">
        <v>53</v>
      </c>
      <c r="Y18" s="31" t="s">
        <v>53</v>
      </c>
      <c r="Z18" s="31" t="s">
        <v>53</v>
      </c>
      <c r="AA18" s="31" t="s">
        <v>53</v>
      </c>
      <c r="AB18" s="31" t="s">
        <v>53</v>
      </c>
      <c r="AC18" s="31" t="s">
        <v>53</v>
      </c>
      <c r="AD18" s="31" t="s">
        <v>53</v>
      </c>
      <c r="AE18" s="31" t="s">
        <v>53</v>
      </c>
      <c r="AF18" s="31" t="s">
        <v>53</v>
      </c>
      <c r="AG18" s="31" t="s">
        <v>53</v>
      </c>
      <c r="AH18" s="31" t="s">
        <v>53</v>
      </c>
      <c r="AI18" s="31" t="s">
        <v>53</v>
      </c>
      <c r="AJ18" s="31" t="s">
        <v>53</v>
      </c>
      <c r="AK18" s="31" t="s">
        <v>53</v>
      </c>
      <c r="AL18" s="31" t="s">
        <v>53</v>
      </c>
      <c r="AM18" s="69" t="s">
        <v>53</v>
      </c>
      <c r="AN18" s="31" t="s">
        <v>53</v>
      </c>
      <c r="AO18" s="31" t="s">
        <v>53</v>
      </c>
      <c r="AP18" s="31" t="s">
        <v>53</v>
      </c>
      <c r="AQ18" s="31" t="s">
        <v>53</v>
      </c>
      <c r="AR18" s="31" t="s">
        <v>53</v>
      </c>
      <c r="AS18" s="82" t="s">
        <v>53</v>
      </c>
      <c r="AT18" s="31" t="s">
        <v>53</v>
      </c>
      <c r="AU18" s="31" t="s">
        <v>53</v>
      </c>
      <c r="AV18" s="31" t="s">
        <v>53</v>
      </c>
      <c r="AW18" s="31" t="s">
        <v>53</v>
      </c>
      <c r="AX18" s="31" t="s">
        <v>53</v>
      </c>
      <c r="AY18" s="31" t="s">
        <v>53</v>
      </c>
      <c r="AZ18" s="31"/>
    </row>
    <row r="19" spans="1:52" x14ac:dyDescent="0.2">
      <c r="A19" s="26" t="s">
        <v>61</v>
      </c>
      <c r="B19" s="32">
        <v>238.07</v>
      </c>
      <c r="C19" s="32">
        <v>162.27000000000001</v>
      </c>
      <c r="D19" s="30"/>
      <c r="E19" s="32">
        <v>117.91</v>
      </c>
      <c r="F19" s="32">
        <v>448.87</v>
      </c>
      <c r="G19" s="32">
        <v>99.43</v>
      </c>
      <c r="H19" s="32">
        <v>671.38</v>
      </c>
      <c r="I19" s="32">
        <v>986.89</v>
      </c>
      <c r="J19" s="33"/>
      <c r="K19" s="32">
        <v>355.21</v>
      </c>
      <c r="L19" s="32">
        <v>29.38</v>
      </c>
      <c r="M19" s="32">
        <v>517.64</v>
      </c>
      <c r="N19" s="32">
        <v>105.94</v>
      </c>
      <c r="O19" s="32">
        <v>402.61</v>
      </c>
      <c r="P19" s="32">
        <v>216.3</v>
      </c>
      <c r="Q19" s="32">
        <v>748.82</v>
      </c>
      <c r="R19" s="32"/>
      <c r="S19" s="32">
        <v>1379.53</v>
      </c>
      <c r="T19" s="32"/>
      <c r="U19" s="32">
        <v>45.43</v>
      </c>
      <c r="V19" s="32">
        <v>582.44000000000005</v>
      </c>
      <c r="W19" s="32">
        <v>261.87</v>
      </c>
      <c r="X19" s="32">
        <v>13.55</v>
      </c>
      <c r="Y19" s="32">
        <v>2075.52</v>
      </c>
      <c r="Z19" s="32">
        <v>466.84</v>
      </c>
      <c r="AA19" s="32">
        <v>4440.42</v>
      </c>
      <c r="AB19" s="32">
        <v>2298.34</v>
      </c>
      <c r="AC19" s="32">
        <v>97.98</v>
      </c>
      <c r="AD19" s="32">
        <v>0</v>
      </c>
      <c r="AE19" s="34">
        <v>270.58</v>
      </c>
      <c r="AF19" s="32"/>
      <c r="AG19" s="32">
        <v>66.42</v>
      </c>
      <c r="AH19" s="32">
        <v>693.53</v>
      </c>
      <c r="AI19" s="32">
        <v>13</v>
      </c>
      <c r="AJ19" s="32">
        <v>0</v>
      </c>
      <c r="AK19" s="32">
        <v>119.7</v>
      </c>
      <c r="AL19" s="32">
        <v>811.16</v>
      </c>
      <c r="AM19" s="32">
        <v>830.3</v>
      </c>
      <c r="AN19" s="32">
        <v>1404.05</v>
      </c>
      <c r="AO19" s="32">
        <v>2357.39</v>
      </c>
      <c r="AP19" s="70">
        <v>53.92</v>
      </c>
      <c r="AQ19" s="32">
        <v>662.9</v>
      </c>
      <c r="AR19" s="32">
        <v>569.78</v>
      </c>
      <c r="AS19" s="83">
        <v>1914.93</v>
      </c>
      <c r="AT19" s="32">
        <v>57455.08</v>
      </c>
      <c r="AU19" s="32">
        <v>17.52</v>
      </c>
      <c r="AV19" s="32">
        <v>28.74</v>
      </c>
      <c r="AW19" s="34">
        <v>317.95999999999998</v>
      </c>
      <c r="AX19" s="32">
        <v>0</v>
      </c>
      <c r="AY19" s="32">
        <v>684.34</v>
      </c>
      <c r="AZ19" s="1"/>
    </row>
    <row r="20" spans="1:52" x14ac:dyDescent="0.2">
      <c r="A20" s="25" t="s">
        <v>42</v>
      </c>
      <c r="B20" s="32">
        <v>236.24</v>
      </c>
      <c r="C20" s="32">
        <v>212.12</v>
      </c>
      <c r="D20" s="30"/>
      <c r="E20" s="32">
        <v>183.27</v>
      </c>
      <c r="F20" s="32">
        <v>582.64</v>
      </c>
      <c r="G20" s="32">
        <v>87.8</v>
      </c>
      <c r="H20" s="32">
        <v>890.88</v>
      </c>
      <c r="I20" s="32">
        <v>1298.99</v>
      </c>
      <c r="J20" s="33"/>
      <c r="K20" s="32">
        <v>449.02</v>
      </c>
      <c r="L20" s="32">
        <v>30.65</v>
      </c>
      <c r="M20" s="32">
        <v>644.05999999999995</v>
      </c>
      <c r="N20" s="32">
        <v>213.21</v>
      </c>
      <c r="O20" s="32">
        <v>406.39</v>
      </c>
      <c r="P20" s="32">
        <v>247.79</v>
      </c>
      <c r="Q20" s="32">
        <v>804.3</v>
      </c>
      <c r="R20" s="32"/>
      <c r="S20" s="32">
        <v>1602.61</v>
      </c>
      <c r="T20" s="32"/>
      <c r="U20" s="32">
        <v>42.37</v>
      </c>
      <c r="V20" s="32">
        <v>687.25</v>
      </c>
      <c r="W20" s="32">
        <v>263.22000000000003</v>
      </c>
      <c r="X20" s="32">
        <v>13.56</v>
      </c>
      <c r="Y20" s="32">
        <v>2144.96</v>
      </c>
      <c r="Z20" s="32">
        <v>520.95000000000005</v>
      </c>
      <c r="AA20" s="32">
        <v>4870</v>
      </c>
      <c r="AB20" s="32">
        <v>2264.94</v>
      </c>
      <c r="AC20" s="32">
        <v>113.98</v>
      </c>
      <c r="AD20" s="32">
        <v>1109.68</v>
      </c>
      <c r="AE20" s="34">
        <v>207.83</v>
      </c>
      <c r="AF20" s="32"/>
      <c r="AG20" s="32">
        <v>0</v>
      </c>
      <c r="AH20" s="32">
        <v>0</v>
      </c>
      <c r="AI20" s="32">
        <v>13</v>
      </c>
      <c r="AJ20" s="32">
        <v>0</v>
      </c>
      <c r="AK20" s="32">
        <v>166.46</v>
      </c>
      <c r="AL20" s="32">
        <v>674.66</v>
      </c>
      <c r="AM20" s="32">
        <v>855.7</v>
      </c>
      <c r="AN20" s="32">
        <v>1202.8599999999999</v>
      </c>
      <c r="AO20" s="32">
        <v>0</v>
      </c>
      <c r="AP20" s="70">
        <v>86.02</v>
      </c>
      <c r="AQ20" s="32">
        <v>729.96</v>
      </c>
      <c r="AR20" s="32">
        <v>441.17</v>
      </c>
      <c r="AS20" s="83">
        <v>830.17</v>
      </c>
      <c r="AT20" s="32">
        <v>6.4</v>
      </c>
      <c r="AU20" s="32">
        <v>20.420000000000002</v>
      </c>
      <c r="AV20" s="32">
        <v>17.489999999999998</v>
      </c>
      <c r="AW20" s="34">
        <v>307.55</v>
      </c>
      <c r="AX20" s="32">
        <v>0</v>
      </c>
      <c r="AY20" s="32">
        <v>703.21</v>
      </c>
      <c r="AZ20" s="1"/>
    </row>
    <row r="21" spans="1:52" x14ac:dyDescent="0.2">
      <c r="A21" s="25" t="s">
        <v>43</v>
      </c>
      <c r="B21" s="32">
        <v>167.05</v>
      </c>
      <c r="C21" s="32">
        <v>202</v>
      </c>
      <c r="D21" s="30"/>
      <c r="E21" s="32">
        <v>111.93</v>
      </c>
      <c r="F21" s="32">
        <v>228.26</v>
      </c>
      <c r="G21" s="32">
        <v>92.02</v>
      </c>
      <c r="H21" s="32">
        <v>423.02</v>
      </c>
      <c r="I21" s="32">
        <v>1176.77</v>
      </c>
      <c r="J21" s="33"/>
      <c r="K21" s="32">
        <v>286.64999999999998</v>
      </c>
      <c r="L21" s="32">
        <v>30.76</v>
      </c>
      <c r="M21" s="32">
        <v>325.88</v>
      </c>
      <c r="N21" s="32">
        <v>102.04</v>
      </c>
      <c r="O21" s="32">
        <v>290.55</v>
      </c>
      <c r="P21" s="32">
        <v>226.56</v>
      </c>
      <c r="Q21" s="32">
        <v>605.63</v>
      </c>
      <c r="R21" s="32"/>
      <c r="S21" s="32">
        <v>1194.74</v>
      </c>
      <c r="T21" s="32"/>
      <c r="U21" s="32">
        <v>38.659999999999997</v>
      </c>
      <c r="V21" s="32">
        <v>483.99</v>
      </c>
      <c r="W21" s="32">
        <v>213.61</v>
      </c>
      <c r="X21" s="32">
        <v>13.55</v>
      </c>
      <c r="Y21" s="32">
        <v>1566.53</v>
      </c>
      <c r="Z21" s="32">
        <v>431.93</v>
      </c>
      <c r="AA21" s="32">
        <v>3294.24</v>
      </c>
      <c r="AB21" s="32">
        <v>1864.29</v>
      </c>
      <c r="AC21" s="32">
        <v>104.98</v>
      </c>
      <c r="AD21" s="32">
        <v>350.48</v>
      </c>
      <c r="AE21" s="34">
        <v>115.91</v>
      </c>
      <c r="AF21" s="32"/>
      <c r="AG21" s="32">
        <v>0</v>
      </c>
      <c r="AH21" s="32">
        <v>0</v>
      </c>
      <c r="AI21" s="32">
        <v>13</v>
      </c>
      <c r="AJ21" s="32">
        <v>0</v>
      </c>
      <c r="AK21" s="32">
        <v>113.32</v>
      </c>
      <c r="AL21" s="32">
        <v>525.54999999999995</v>
      </c>
      <c r="AM21" s="32">
        <v>515</v>
      </c>
      <c r="AN21" s="32">
        <v>787.92</v>
      </c>
      <c r="AO21" s="32">
        <v>0</v>
      </c>
      <c r="AP21" s="70">
        <v>74.17</v>
      </c>
      <c r="AQ21" s="32">
        <v>520.48</v>
      </c>
      <c r="AR21" s="32">
        <v>0</v>
      </c>
      <c r="AS21" s="83">
        <v>528.11</v>
      </c>
      <c r="AT21" s="32">
        <v>0</v>
      </c>
      <c r="AU21" s="32">
        <v>17.670000000000002</v>
      </c>
      <c r="AV21" s="32">
        <v>11.87</v>
      </c>
      <c r="AW21" s="34">
        <v>276.7</v>
      </c>
      <c r="AX21" s="32">
        <v>0</v>
      </c>
      <c r="AY21" s="32">
        <v>505.19</v>
      </c>
      <c r="AZ21" s="1"/>
    </row>
    <row r="22" spans="1:52" x14ac:dyDescent="0.2">
      <c r="A22" s="25" t="s">
        <v>44</v>
      </c>
      <c r="B22" s="32">
        <v>91.5</v>
      </c>
      <c r="C22" s="32">
        <v>76.44</v>
      </c>
      <c r="D22" s="30"/>
      <c r="E22" s="32">
        <v>77.88</v>
      </c>
      <c r="F22" s="32">
        <v>119.98</v>
      </c>
      <c r="G22" s="32">
        <v>72.63</v>
      </c>
      <c r="H22" s="32">
        <v>464.01</v>
      </c>
      <c r="I22" s="32">
        <v>871.67</v>
      </c>
      <c r="J22" s="33"/>
      <c r="K22" s="32">
        <v>198.93</v>
      </c>
      <c r="L22" s="32">
        <v>40.380000000000003</v>
      </c>
      <c r="M22" s="32">
        <v>150.08000000000001</v>
      </c>
      <c r="N22" s="32">
        <v>39.4</v>
      </c>
      <c r="O22" s="32">
        <v>90.84</v>
      </c>
      <c r="P22" s="32">
        <v>124.92</v>
      </c>
      <c r="Q22" s="32">
        <v>276.10000000000002</v>
      </c>
      <c r="R22" s="32"/>
      <c r="S22" s="32">
        <v>520.49</v>
      </c>
      <c r="T22" s="32"/>
      <c r="U22" s="32">
        <v>34.450000000000003</v>
      </c>
      <c r="V22" s="32">
        <v>201.67</v>
      </c>
      <c r="W22" s="32">
        <v>133.62</v>
      </c>
      <c r="X22" s="32">
        <v>13.55</v>
      </c>
      <c r="Y22" s="32">
        <v>584.29</v>
      </c>
      <c r="Z22" s="32">
        <v>138.78</v>
      </c>
      <c r="AA22" s="32">
        <v>1220.4100000000001</v>
      </c>
      <c r="AB22" s="32">
        <v>788.92</v>
      </c>
      <c r="AC22" s="32">
        <v>14.71</v>
      </c>
      <c r="AD22" s="32">
        <v>-759.2</v>
      </c>
      <c r="AE22" s="34">
        <v>72.13</v>
      </c>
      <c r="AF22" s="32"/>
      <c r="AG22" s="32">
        <v>0</v>
      </c>
      <c r="AH22" s="32">
        <v>0</v>
      </c>
      <c r="AI22" s="32">
        <v>0</v>
      </c>
      <c r="AJ22" s="32">
        <v>0</v>
      </c>
      <c r="AK22" s="32">
        <v>52</v>
      </c>
      <c r="AL22" s="32">
        <v>439.62</v>
      </c>
      <c r="AM22" s="32">
        <v>47.31</v>
      </c>
      <c r="AN22" s="32">
        <v>425.65</v>
      </c>
      <c r="AO22" s="32">
        <v>0</v>
      </c>
      <c r="AP22" s="70">
        <v>37.299999999999997</v>
      </c>
      <c r="AQ22" s="32">
        <v>322.54000000000002</v>
      </c>
      <c r="AR22" s="32">
        <v>0</v>
      </c>
      <c r="AS22" s="83">
        <v>295.02999999999997</v>
      </c>
      <c r="AT22" s="32">
        <v>5.24</v>
      </c>
      <c r="AU22" s="32">
        <v>18.670000000000002</v>
      </c>
      <c r="AV22" s="32">
        <v>11.85</v>
      </c>
      <c r="AW22" s="34">
        <v>129.30000000000001</v>
      </c>
      <c r="AX22" s="32">
        <v>0</v>
      </c>
      <c r="AY22" s="32">
        <v>337.86</v>
      </c>
      <c r="AZ22" s="1"/>
    </row>
    <row r="23" spans="1:52" x14ac:dyDescent="0.2">
      <c r="A23" s="25" t="s">
        <v>45</v>
      </c>
      <c r="B23" s="32">
        <v>75.25</v>
      </c>
      <c r="C23" s="32">
        <v>23.43</v>
      </c>
      <c r="D23" s="30"/>
      <c r="E23" s="32">
        <v>60.5</v>
      </c>
      <c r="F23" s="32">
        <v>31.35</v>
      </c>
      <c r="G23" s="32">
        <v>15.16</v>
      </c>
      <c r="H23" s="32">
        <v>278</v>
      </c>
      <c r="I23" s="32">
        <v>253.26</v>
      </c>
      <c r="J23" s="33"/>
      <c r="K23" s="32">
        <v>78.84</v>
      </c>
      <c r="L23" s="32">
        <v>22.56</v>
      </c>
      <c r="M23" s="32">
        <v>60.79</v>
      </c>
      <c r="N23" s="32">
        <v>21.22</v>
      </c>
      <c r="O23" s="32">
        <v>70.86</v>
      </c>
      <c r="P23" s="32">
        <v>87.37</v>
      </c>
      <c r="Q23" s="32">
        <v>177.05</v>
      </c>
      <c r="R23" s="32"/>
      <c r="S23" s="32">
        <v>151.15</v>
      </c>
      <c r="T23" s="32"/>
      <c r="U23" s="32">
        <v>32.58</v>
      </c>
      <c r="V23" s="32">
        <v>99.08</v>
      </c>
      <c r="W23" s="32">
        <v>82.15</v>
      </c>
      <c r="X23" s="32">
        <v>14.67</v>
      </c>
      <c r="Y23" s="32">
        <v>300.76</v>
      </c>
      <c r="Z23" s="32">
        <v>73.03</v>
      </c>
      <c r="AA23" s="32">
        <v>642.89</v>
      </c>
      <c r="AB23" s="32">
        <v>473.43</v>
      </c>
      <c r="AC23" s="32">
        <v>20.14</v>
      </c>
      <c r="AD23" s="32">
        <v>-759.2</v>
      </c>
      <c r="AE23" s="34">
        <v>40.549999999999997</v>
      </c>
      <c r="AF23" s="32"/>
      <c r="AG23" s="32">
        <v>0</v>
      </c>
      <c r="AH23" s="32">
        <v>0</v>
      </c>
      <c r="AI23" s="32">
        <v>0</v>
      </c>
      <c r="AJ23" s="32">
        <v>0</v>
      </c>
      <c r="AK23" s="32">
        <v>27.23</v>
      </c>
      <c r="AL23" s="32">
        <v>363.6</v>
      </c>
      <c r="AM23" s="32">
        <v>39.9</v>
      </c>
      <c r="AN23" s="32">
        <v>81</v>
      </c>
      <c r="AO23" s="32">
        <v>0</v>
      </c>
      <c r="AP23" s="70">
        <v>9.07</v>
      </c>
      <c r="AQ23" s="32">
        <v>385.76</v>
      </c>
      <c r="AR23" s="32">
        <v>0</v>
      </c>
      <c r="AS23" s="83">
        <v>102.47</v>
      </c>
      <c r="AT23" s="32">
        <v>0</v>
      </c>
      <c r="AU23" s="32">
        <v>18.43</v>
      </c>
      <c r="AV23" s="32">
        <v>11.54</v>
      </c>
      <c r="AW23" s="34">
        <v>49.56</v>
      </c>
      <c r="AX23" s="32">
        <v>0</v>
      </c>
      <c r="AY23" s="32">
        <v>96.94</v>
      </c>
      <c r="AZ23" s="1"/>
    </row>
    <row r="24" spans="1:52" x14ac:dyDescent="0.2">
      <c r="A24" s="25" t="s">
        <v>46</v>
      </c>
      <c r="B24" s="32">
        <v>29.92</v>
      </c>
      <c r="C24" s="32">
        <v>23.44</v>
      </c>
      <c r="D24" s="30"/>
      <c r="E24" s="32">
        <v>34.6</v>
      </c>
      <c r="F24" s="32">
        <v>29.2</v>
      </c>
      <c r="G24" s="32">
        <v>16.25</v>
      </c>
      <c r="H24" s="32">
        <v>30.44</v>
      </c>
      <c r="I24" s="32">
        <v>40.57</v>
      </c>
      <c r="J24" s="33"/>
      <c r="K24" s="32">
        <v>13</v>
      </c>
      <c r="L24" s="32">
        <v>22.56</v>
      </c>
      <c r="M24" s="32">
        <v>25.95</v>
      </c>
      <c r="N24" s="32">
        <v>22.31</v>
      </c>
      <c r="O24" s="32">
        <v>38.5</v>
      </c>
      <c r="P24" s="32">
        <v>48.26</v>
      </c>
      <c r="Q24" s="32">
        <v>28.11</v>
      </c>
      <c r="R24" s="32"/>
      <c r="S24" s="32">
        <v>16.25</v>
      </c>
      <c r="T24" s="32"/>
      <c r="U24" s="32">
        <v>26.67</v>
      </c>
      <c r="V24" s="32">
        <v>20.309999999999999</v>
      </c>
      <c r="W24" s="32">
        <v>20.65</v>
      </c>
      <c r="X24" s="32">
        <v>13.55</v>
      </c>
      <c r="Y24" s="32">
        <v>77.41</v>
      </c>
      <c r="Z24" s="32">
        <v>14.74</v>
      </c>
      <c r="AA24" s="32">
        <v>298.86</v>
      </c>
      <c r="AB24" s="32">
        <v>213.89</v>
      </c>
      <c r="AC24" s="32">
        <v>2.02</v>
      </c>
      <c r="AD24" s="32">
        <v>-759.2</v>
      </c>
      <c r="AE24" s="34">
        <v>25.95</v>
      </c>
      <c r="AF24" s="32"/>
      <c r="AG24" s="32">
        <v>0</v>
      </c>
      <c r="AH24" s="32">
        <v>0</v>
      </c>
      <c r="AI24" s="32">
        <v>13</v>
      </c>
      <c r="AJ24" s="32">
        <v>0</v>
      </c>
      <c r="AK24" s="32">
        <v>13.72</v>
      </c>
      <c r="AL24" s="32">
        <v>300.38</v>
      </c>
      <c r="AM24" s="32">
        <v>0</v>
      </c>
      <c r="AN24" s="32">
        <v>693.57</v>
      </c>
      <c r="AO24" s="32">
        <v>0</v>
      </c>
      <c r="AP24" s="70">
        <v>0</v>
      </c>
      <c r="AQ24" s="32">
        <v>346.76</v>
      </c>
      <c r="AR24" s="32">
        <v>0</v>
      </c>
      <c r="AS24" s="83">
        <v>45.94</v>
      </c>
      <c r="AT24" s="32">
        <v>0</v>
      </c>
      <c r="AU24" s="32">
        <v>16.05</v>
      </c>
      <c r="AV24" s="32">
        <v>10.42</v>
      </c>
      <c r="AW24" s="34">
        <v>25.95</v>
      </c>
      <c r="AX24" s="32">
        <v>0</v>
      </c>
      <c r="AY24" s="32">
        <v>11.34</v>
      </c>
      <c r="AZ24" s="1"/>
    </row>
    <row r="25" spans="1:52" x14ac:dyDescent="0.2">
      <c r="A25" s="25" t="s">
        <v>47</v>
      </c>
      <c r="B25" s="32">
        <v>21.28</v>
      </c>
      <c r="C25" s="32">
        <v>23.44</v>
      </c>
      <c r="D25" s="30"/>
      <c r="E25" s="32">
        <v>31.37</v>
      </c>
      <c r="F25" s="32">
        <v>29.2</v>
      </c>
      <c r="G25" s="32">
        <v>15.16</v>
      </c>
      <c r="H25" s="32">
        <v>21.43</v>
      </c>
      <c r="I25" s="32">
        <v>25.95</v>
      </c>
      <c r="J25" s="33"/>
      <c r="K25" s="32">
        <v>22.72</v>
      </c>
      <c r="L25" s="32">
        <v>21.43</v>
      </c>
      <c r="M25" s="32">
        <v>25.95</v>
      </c>
      <c r="N25" s="32">
        <v>20.149999999999999</v>
      </c>
      <c r="O25" s="32">
        <v>30.95</v>
      </c>
      <c r="P25" s="32">
        <v>36.950000000000003</v>
      </c>
      <c r="Q25" s="32">
        <v>15.16</v>
      </c>
      <c r="R25" s="32"/>
      <c r="S25" s="32">
        <v>13</v>
      </c>
      <c r="T25" s="32"/>
      <c r="U25" s="32">
        <v>30.19</v>
      </c>
      <c r="V25" s="32">
        <v>21.43</v>
      </c>
      <c r="W25" s="32">
        <v>23.9</v>
      </c>
      <c r="X25" s="32">
        <v>13.55</v>
      </c>
      <c r="Y25" s="32">
        <v>50.39</v>
      </c>
      <c r="Z25" s="32">
        <v>14.74</v>
      </c>
      <c r="AA25" s="32">
        <v>215.67</v>
      </c>
      <c r="AB25" s="32">
        <v>162.74</v>
      </c>
      <c r="AC25" s="32">
        <v>0</v>
      </c>
      <c r="AD25" s="32">
        <v>-759.2</v>
      </c>
      <c r="AE25" s="34">
        <v>19.18</v>
      </c>
      <c r="AF25" s="32"/>
      <c r="AG25" s="32">
        <v>0</v>
      </c>
      <c r="AH25" s="32">
        <v>275.19</v>
      </c>
      <c r="AI25" s="32">
        <v>13</v>
      </c>
      <c r="AJ25" s="32">
        <v>0</v>
      </c>
      <c r="AK25" s="32">
        <v>13.72</v>
      </c>
      <c r="AL25" s="32">
        <v>249.99</v>
      </c>
      <c r="AM25" s="32">
        <v>3.16</v>
      </c>
      <c r="AN25" s="32">
        <v>695.73</v>
      </c>
      <c r="AO25" s="32">
        <v>0</v>
      </c>
      <c r="AP25" s="70">
        <v>0</v>
      </c>
      <c r="AQ25" s="32">
        <v>213.71</v>
      </c>
      <c r="AR25" s="32">
        <v>0</v>
      </c>
      <c r="AS25" s="83">
        <v>8.5500000000000007</v>
      </c>
      <c r="AT25" s="32">
        <v>0</v>
      </c>
      <c r="AU25" s="32">
        <v>17.239999999999998</v>
      </c>
      <c r="AV25" s="32">
        <v>11.55</v>
      </c>
      <c r="AW25" s="34">
        <v>13.55</v>
      </c>
      <c r="AX25" s="32">
        <v>0</v>
      </c>
      <c r="AY25" s="32">
        <v>10.16</v>
      </c>
      <c r="AZ25" s="1"/>
    </row>
    <row r="26" spans="1:52" x14ac:dyDescent="0.2">
      <c r="A26" s="25" t="s">
        <v>48</v>
      </c>
      <c r="B26" s="32">
        <v>22.36</v>
      </c>
      <c r="C26" s="32">
        <v>22.36</v>
      </c>
      <c r="D26" s="30"/>
      <c r="E26" s="32">
        <v>30.28</v>
      </c>
      <c r="F26" s="32">
        <v>30.28</v>
      </c>
      <c r="G26" s="32">
        <v>13</v>
      </c>
      <c r="H26" s="32">
        <v>22.56</v>
      </c>
      <c r="I26" s="32">
        <v>29.3</v>
      </c>
      <c r="J26" s="33"/>
      <c r="K26" s="32">
        <v>13</v>
      </c>
      <c r="L26" s="32">
        <v>22.56</v>
      </c>
      <c r="M26" s="32">
        <v>23.69</v>
      </c>
      <c r="N26" s="32">
        <v>21.23</v>
      </c>
      <c r="O26" s="32">
        <v>36.369999999999997</v>
      </c>
      <c r="P26" s="32">
        <v>36.96</v>
      </c>
      <c r="Q26" s="32">
        <v>14.07</v>
      </c>
      <c r="R26" s="32"/>
      <c r="S26" s="32">
        <v>15.6</v>
      </c>
      <c r="T26" s="32"/>
      <c r="U26" s="32">
        <v>25.49</v>
      </c>
      <c r="V26" s="32">
        <v>21.43</v>
      </c>
      <c r="W26" s="32">
        <v>21.73</v>
      </c>
      <c r="X26" s="32">
        <v>13.55</v>
      </c>
      <c r="Y26" s="32">
        <v>60.12</v>
      </c>
      <c r="Z26" s="32">
        <v>13.67</v>
      </c>
      <c r="AA26" s="32">
        <v>269.7</v>
      </c>
      <c r="AB26" s="32">
        <v>199.47</v>
      </c>
      <c r="AC26" s="32">
        <v>0</v>
      </c>
      <c r="AD26" s="32">
        <v>-759.2</v>
      </c>
      <c r="AE26" s="34">
        <v>25.95</v>
      </c>
      <c r="AF26" s="32"/>
      <c r="AG26" s="32">
        <v>0</v>
      </c>
      <c r="AH26" s="32">
        <v>0</v>
      </c>
      <c r="AI26" s="32">
        <v>267.95</v>
      </c>
      <c r="AJ26" s="32">
        <v>0</v>
      </c>
      <c r="AK26" s="32">
        <v>13.72</v>
      </c>
      <c r="AL26" s="32">
        <v>237.89</v>
      </c>
      <c r="AM26" s="32">
        <v>0</v>
      </c>
      <c r="AN26" s="32">
        <v>13</v>
      </c>
      <c r="AO26" s="32">
        <v>0</v>
      </c>
      <c r="AP26" s="70">
        <v>0</v>
      </c>
      <c r="AQ26" s="32">
        <v>299.38</v>
      </c>
      <c r="AR26" s="32">
        <v>0</v>
      </c>
      <c r="AS26" s="83">
        <v>0</v>
      </c>
      <c r="AT26" s="32">
        <v>0</v>
      </c>
      <c r="AU26" s="32">
        <v>18.41</v>
      </c>
      <c r="AV26" s="32">
        <v>10.42</v>
      </c>
      <c r="AW26" s="34">
        <v>14.57</v>
      </c>
      <c r="AX26" s="32">
        <v>0</v>
      </c>
      <c r="AY26" s="32">
        <v>10.16</v>
      </c>
      <c r="AZ26" s="1"/>
    </row>
    <row r="27" spans="1:52" x14ac:dyDescent="0.2">
      <c r="A27" s="25" t="s">
        <v>49</v>
      </c>
      <c r="B27" s="32">
        <v>21.28</v>
      </c>
      <c r="C27" s="32">
        <v>22.36</v>
      </c>
      <c r="D27" s="30"/>
      <c r="E27" s="32">
        <v>30.28</v>
      </c>
      <c r="F27" s="32">
        <v>28.11</v>
      </c>
      <c r="G27" s="34">
        <v>19.48</v>
      </c>
      <c r="H27" s="32">
        <v>21.43</v>
      </c>
      <c r="I27" s="32">
        <v>29.3</v>
      </c>
      <c r="J27" s="33"/>
      <c r="K27" s="32">
        <v>13</v>
      </c>
      <c r="L27" s="32">
        <v>19.18</v>
      </c>
      <c r="M27" s="32">
        <v>27.07</v>
      </c>
      <c r="N27" s="32">
        <v>20.149999999999999</v>
      </c>
      <c r="O27" s="32">
        <v>32.04</v>
      </c>
      <c r="P27" s="32">
        <v>38.1</v>
      </c>
      <c r="Q27" s="32">
        <v>15.16</v>
      </c>
      <c r="R27" s="32"/>
      <c r="S27" s="32">
        <v>34.6</v>
      </c>
      <c r="T27" s="32"/>
      <c r="U27" s="32">
        <v>24.31</v>
      </c>
      <c r="V27" s="32">
        <v>19.18</v>
      </c>
      <c r="W27" s="32">
        <v>21.73</v>
      </c>
      <c r="X27" s="32">
        <v>13.55</v>
      </c>
      <c r="Y27" s="32">
        <v>51.47</v>
      </c>
      <c r="Z27" s="32">
        <v>14.74</v>
      </c>
      <c r="AA27" s="32">
        <v>224.33</v>
      </c>
      <c r="AB27" s="32">
        <v>174.63</v>
      </c>
      <c r="AC27" s="32">
        <v>7699.53</v>
      </c>
      <c r="AD27" s="32">
        <v>4453.62</v>
      </c>
      <c r="AE27" s="34">
        <v>42.84</v>
      </c>
      <c r="AF27" s="32"/>
      <c r="AG27" s="32">
        <v>26.28</v>
      </c>
      <c r="AH27" s="32">
        <v>0</v>
      </c>
      <c r="AI27" s="32">
        <v>9117.9699999999993</v>
      </c>
      <c r="AJ27" s="32">
        <v>1612.59</v>
      </c>
      <c r="AK27" s="32">
        <v>13.72</v>
      </c>
      <c r="AL27" s="32">
        <v>5883.86</v>
      </c>
      <c r="AM27" s="32">
        <v>9395.4</v>
      </c>
      <c r="AN27" s="32">
        <v>3504.03</v>
      </c>
      <c r="AO27" s="32">
        <v>363.88</v>
      </c>
      <c r="AP27" s="70">
        <v>1452.54</v>
      </c>
      <c r="AQ27" s="32">
        <v>376.1</v>
      </c>
      <c r="AR27" s="32">
        <v>0</v>
      </c>
      <c r="AS27" s="83">
        <v>0</v>
      </c>
      <c r="AT27" s="32">
        <v>592.66999999999996</v>
      </c>
      <c r="AU27" s="32">
        <v>19.59</v>
      </c>
      <c r="AV27" s="32">
        <v>14.95</v>
      </c>
      <c r="AW27" s="34">
        <v>14.67</v>
      </c>
      <c r="AX27" s="32">
        <v>2.02</v>
      </c>
      <c r="AY27" s="32">
        <v>10.16</v>
      </c>
      <c r="AZ27" s="1"/>
    </row>
    <row r="28" spans="1:52" x14ac:dyDescent="0.2">
      <c r="A28" s="25" t="s">
        <v>50</v>
      </c>
      <c r="B28" s="32">
        <v>21.28</v>
      </c>
      <c r="C28" s="32">
        <v>23.44</v>
      </c>
      <c r="D28" s="30"/>
      <c r="E28" s="32">
        <v>28.11</v>
      </c>
      <c r="F28" s="32">
        <v>28.11</v>
      </c>
      <c r="G28" s="34">
        <v>15.16</v>
      </c>
      <c r="H28" s="32">
        <v>21.43</v>
      </c>
      <c r="I28" s="32">
        <v>27.07</v>
      </c>
      <c r="J28" s="33"/>
      <c r="K28" s="32">
        <v>13</v>
      </c>
      <c r="L28" s="32">
        <v>21.43</v>
      </c>
      <c r="M28" s="32">
        <v>24.82</v>
      </c>
      <c r="N28" s="32">
        <v>22.31</v>
      </c>
      <c r="O28" s="32">
        <v>34.19</v>
      </c>
      <c r="P28" s="32">
        <v>38.11</v>
      </c>
      <c r="Q28" s="32">
        <v>16.25</v>
      </c>
      <c r="R28" s="32"/>
      <c r="S28" s="32">
        <v>291.73</v>
      </c>
      <c r="T28" s="32"/>
      <c r="U28" s="32">
        <v>29.01</v>
      </c>
      <c r="V28" s="32">
        <v>22.56</v>
      </c>
      <c r="W28" s="32">
        <v>20.65</v>
      </c>
      <c r="X28" s="32">
        <v>13.55</v>
      </c>
      <c r="Y28" s="32">
        <v>53.65</v>
      </c>
      <c r="Z28" s="32">
        <v>13.67</v>
      </c>
      <c r="AA28" s="32">
        <v>239.44</v>
      </c>
      <c r="AB28" s="32">
        <v>185.44</v>
      </c>
      <c r="AC28" s="32">
        <v>35008.17</v>
      </c>
      <c r="AD28" s="32">
        <v>37464.43</v>
      </c>
      <c r="AE28" s="34">
        <v>126.17</v>
      </c>
      <c r="AF28" s="32"/>
      <c r="AG28" s="32">
        <v>31210.09</v>
      </c>
      <c r="AH28" s="32">
        <v>37825.17</v>
      </c>
      <c r="AI28" s="32">
        <v>55261.87</v>
      </c>
      <c r="AJ28" s="32">
        <v>13085.26</v>
      </c>
      <c r="AK28" s="32">
        <v>18.239999999999998</v>
      </c>
      <c r="AL28" s="32">
        <v>6410.47</v>
      </c>
      <c r="AM28" s="32">
        <v>166734.72</v>
      </c>
      <c r="AN28" s="32">
        <v>76361.16</v>
      </c>
      <c r="AO28" s="32">
        <v>77173.22</v>
      </c>
      <c r="AP28" s="70">
        <v>48437.94</v>
      </c>
      <c r="AQ28" s="32">
        <v>27371.98</v>
      </c>
      <c r="AR28" s="32">
        <v>36289.79</v>
      </c>
      <c r="AS28" s="83">
        <v>129539.26</v>
      </c>
      <c r="AT28" s="32">
        <v>26401.09</v>
      </c>
      <c r="AU28" s="32">
        <v>19.59</v>
      </c>
      <c r="AV28" s="32">
        <v>61.27</v>
      </c>
      <c r="AW28" s="34">
        <v>13.55</v>
      </c>
      <c r="AX28" s="32">
        <v>10524.51</v>
      </c>
      <c r="AY28" s="32">
        <v>10.16</v>
      </c>
      <c r="AZ28" s="1"/>
    </row>
    <row r="29" spans="1:52" x14ac:dyDescent="0.2">
      <c r="A29" s="25" t="s">
        <v>51</v>
      </c>
      <c r="B29" s="32">
        <v>46.71</v>
      </c>
      <c r="C29" s="32">
        <v>69.900000000000006</v>
      </c>
      <c r="D29" s="30"/>
      <c r="E29" s="32">
        <v>29.8</v>
      </c>
      <c r="F29" s="32">
        <v>26.44</v>
      </c>
      <c r="G29" s="34">
        <v>14.88</v>
      </c>
      <c r="H29" s="32">
        <v>289.75</v>
      </c>
      <c r="I29" s="32">
        <v>236.66</v>
      </c>
      <c r="J29" s="33"/>
      <c r="K29" s="32">
        <v>67.69</v>
      </c>
      <c r="L29" s="32">
        <v>20.43</v>
      </c>
      <c r="M29" s="32">
        <v>31.24</v>
      </c>
      <c r="N29" s="32">
        <v>19.32</v>
      </c>
      <c r="O29" s="32">
        <v>29.7</v>
      </c>
      <c r="P29" s="32">
        <v>64.08</v>
      </c>
      <c r="Q29" s="32">
        <v>182.71</v>
      </c>
      <c r="R29" s="32"/>
      <c r="S29" s="32">
        <v>437.29</v>
      </c>
      <c r="T29" s="32"/>
      <c r="U29" s="32">
        <v>27.93</v>
      </c>
      <c r="V29" s="32">
        <v>60.86</v>
      </c>
      <c r="W29" s="32">
        <v>48.92</v>
      </c>
      <c r="X29" s="32">
        <v>13.55</v>
      </c>
      <c r="Y29" s="32">
        <v>211.66</v>
      </c>
      <c r="Z29" s="32">
        <v>57.04</v>
      </c>
      <c r="AA29" s="32">
        <v>620.84</v>
      </c>
      <c r="AB29" s="32">
        <v>340.83</v>
      </c>
      <c r="AC29" s="32">
        <v>8412.49</v>
      </c>
      <c r="AD29" s="32">
        <v>42214.22</v>
      </c>
      <c r="AE29" s="34">
        <v>111.65</v>
      </c>
      <c r="AF29" s="32"/>
      <c r="AG29" s="32">
        <v>50044.07</v>
      </c>
      <c r="AH29" s="32">
        <v>103050.04</v>
      </c>
      <c r="AI29" s="32">
        <v>59583.17</v>
      </c>
      <c r="AJ29" s="32">
        <v>36076.53</v>
      </c>
      <c r="AK29" s="32">
        <v>2007.39</v>
      </c>
      <c r="AL29" s="32">
        <v>101430.82</v>
      </c>
      <c r="AM29" s="32">
        <v>131639.10999999999</v>
      </c>
      <c r="AN29" s="32">
        <v>70634.289999999994</v>
      </c>
      <c r="AO29" s="32">
        <v>111942</v>
      </c>
      <c r="AP29" s="70">
        <v>113991.03999999999</v>
      </c>
      <c r="AQ29" s="32">
        <v>55766.53</v>
      </c>
      <c r="AR29" s="32">
        <v>45115.040000000001</v>
      </c>
      <c r="AS29" s="83">
        <v>183737.12</v>
      </c>
      <c r="AT29" s="32">
        <v>57172.03</v>
      </c>
      <c r="AU29" s="32">
        <v>21.28</v>
      </c>
      <c r="AV29" s="32">
        <v>76.44</v>
      </c>
      <c r="AW29" s="34">
        <v>14.52</v>
      </c>
      <c r="AX29" s="32">
        <v>26895.82</v>
      </c>
      <c r="AY29" s="32">
        <v>48.36</v>
      </c>
      <c r="AZ29" s="1"/>
    </row>
    <row r="30" spans="1:52" x14ac:dyDescent="0.2">
      <c r="A30" s="25" t="s">
        <v>52</v>
      </c>
      <c r="B30" s="32">
        <v>67.14</v>
      </c>
      <c r="C30" s="32">
        <v>62.06</v>
      </c>
      <c r="D30" s="30"/>
      <c r="E30" s="32">
        <v>27.22</v>
      </c>
      <c r="F30" s="32">
        <v>81.430000000000007</v>
      </c>
      <c r="G30" s="32">
        <v>15.66</v>
      </c>
      <c r="H30" s="32">
        <v>371.41</v>
      </c>
      <c r="I30" s="32">
        <v>340.36</v>
      </c>
      <c r="J30" s="33"/>
      <c r="K30" s="32">
        <v>110.75</v>
      </c>
      <c r="L30" s="32">
        <v>22.82</v>
      </c>
      <c r="M30" s="32">
        <v>58.95</v>
      </c>
      <c r="N30" s="32">
        <v>19.8</v>
      </c>
      <c r="O30" s="32">
        <v>79.150000000000006</v>
      </c>
      <c r="P30" s="32">
        <v>105.48</v>
      </c>
      <c r="Q30" s="32">
        <v>216.15</v>
      </c>
      <c r="R30" s="32"/>
      <c r="S30" s="32">
        <v>373.78</v>
      </c>
      <c r="T30" s="32"/>
      <c r="U30" s="32">
        <v>30.17</v>
      </c>
      <c r="V30" s="32">
        <v>149.36000000000001</v>
      </c>
      <c r="W30" s="32">
        <v>86.85</v>
      </c>
      <c r="X30" s="32">
        <v>13.55</v>
      </c>
      <c r="Y30" s="32">
        <v>499.66</v>
      </c>
      <c r="Z30" s="32">
        <v>116.13</v>
      </c>
      <c r="AA30" s="32">
        <v>1054.82</v>
      </c>
      <c r="AB30" s="32">
        <v>553.96</v>
      </c>
      <c r="AC30" s="32">
        <v>5059.54</v>
      </c>
      <c r="AD30" s="32">
        <v>17254.21</v>
      </c>
      <c r="AE30" s="34">
        <v>69.150000000000006</v>
      </c>
      <c r="AF30" s="32"/>
      <c r="AG30" s="32">
        <v>18407.560000000001</v>
      </c>
      <c r="AH30" s="32">
        <v>42824.62</v>
      </c>
      <c r="AI30" s="32">
        <v>14734.5</v>
      </c>
      <c r="AJ30" s="32">
        <v>11504.19</v>
      </c>
      <c r="AK30" s="32">
        <v>4623.8599999999997</v>
      </c>
      <c r="AL30" s="32">
        <v>0</v>
      </c>
      <c r="AM30" s="32">
        <v>37547.379999999997</v>
      </c>
      <c r="AN30" s="32">
        <v>24067.7</v>
      </c>
      <c r="AO30" s="32">
        <v>27462.080000000002</v>
      </c>
      <c r="AP30" s="70">
        <v>49335.37</v>
      </c>
      <c r="AQ30" s="32">
        <v>4341.62</v>
      </c>
      <c r="AR30" s="32">
        <v>19010.810000000001</v>
      </c>
      <c r="AS30" s="84">
        <v>38332.589999999997</v>
      </c>
      <c r="AT30" s="32">
        <v>16120.25</v>
      </c>
      <c r="AU30" s="32">
        <v>23.93</v>
      </c>
      <c r="AV30" s="32">
        <v>64.930000000000007</v>
      </c>
      <c r="AW30" s="34">
        <v>13.55</v>
      </c>
      <c r="AX30" s="32">
        <v>15908.11</v>
      </c>
      <c r="AY30" s="32">
        <v>152.36000000000001</v>
      </c>
      <c r="AZ30" s="1"/>
    </row>
    <row r="31" spans="1:52" ht="13.5" thickBot="1" x14ac:dyDescent="0.25">
      <c r="A31" s="26" t="s">
        <v>62</v>
      </c>
      <c r="B31" s="35">
        <f>SUM(B19:B30)</f>
        <v>1038.08</v>
      </c>
      <c r="C31" s="35">
        <f>SUM(C19:C30)</f>
        <v>923.26</v>
      </c>
      <c r="D31" s="35"/>
      <c r="E31" s="35">
        <f t="shared" ref="E31:AY31" si="1">SUM(E19:E30)</f>
        <v>763.15</v>
      </c>
      <c r="F31" s="35">
        <f t="shared" si="1"/>
        <v>1663.87</v>
      </c>
      <c r="G31" s="36">
        <f t="shared" si="1"/>
        <v>476.63000000000011</v>
      </c>
      <c r="H31" s="35">
        <f t="shared" si="1"/>
        <v>3505.7399999999993</v>
      </c>
      <c r="I31" s="36">
        <f t="shared" si="1"/>
        <v>5316.7899999999991</v>
      </c>
      <c r="J31" s="37">
        <f t="shared" si="1"/>
        <v>0</v>
      </c>
      <c r="K31" s="36">
        <f t="shared" si="1"/>
        <v>1621.8100000000002</v>
      </c>
      <c r="L31" s="36">
        <f t="shared" si="1"/>
        <v>304.14000000000004</v>
      </c>
      <c r="M31" s="36">
        <f t="shared" si="1"/>
        <v>1916.12</v>
      </c>
      <c r="N31" s="36">
        <f t="shared" si="1"/>
        <v>627.07999999999993</v>
      </c>
      <c r="O31" s="38">
        <f t="shared" si="1"/>
        <v>1542.1499999999999</v>
      </c>
      <c r="P31" s="36">
        <f t="shared" si="1"/>
        <v>1270.8799999999999</v>
      </c>
      <c r="Q31" s="38">
        <f t="shared" si="1"/>
        <v>3099.51</v>
      </c>
      <c r="R31" s="38">
        <f t="shared" si="1"/>
        <v>0</v>
      </c>
      <c r="S31" s="38">
        <f t="shared" si="1"/>
        <v>6030.77</v>
      </c>
      <c r="T31" s="36">
        <f t="shared" si="1"/>
        <v>0</v>
      </c>
      <c r="U31" s="38">
        <f t="shared" si="1"/>
        <v>387.26000000000005</v>
      </c>
      <c r="V31" s="38">
        <f t="shared" si="1"/>
        <v>2369.56</v>
      </c>
      <c r="W31" s="36">
        <f t="shared" si="1"/>
        <v>1198.9000000000001</v>
      </c>
      <c r="X31" s="38">
        <f t="shared" si="1"/>
        <v>163.73000000000002</v>
      </c>
      <c r="Y31" s="39">
        <f t="shared" si="1"/>
        <v>7676.4199999999992</v>
      </c>
      <c r="Z31" s="39">
        <f t="shared" si="1"/>
        <v>1876.2600000000002</v>
      </c>
      <c r="AA31" s="38">
        <f t="shared" si="1"/>
        <v>17391.620000000003</v>
      </c>
      <c r="AB31" s="38">
        <f t="shared" si="1"/>
        <v>9520.880000000001</v>
      </c>
      <c r="AC31" s="38">
        <f t="shared" ref="AC31:AJ31" si="2">SUM(AC19:AC30)</f>
        <v>56533.539999999994</v>
      </c>
      <c r="AD31" s="38">
        <f t="shared" si="2"/>
        <v>99050.639999999985</v>
      </c>
      <c r="AE31" s="38">
        <f t="shared" si="2"/>
        <v>1127.8900000000001</v>
      </c>
      <c r="AF31" s="38">
        <f t="shared" si="2"/>
        <v>0</v>
      </c>
      <c r="AG31" s="38">
        <f t="shared" si="2"/>
        <v>99754.42</v>
      </c>
      <c r="AH31" s="38">
        <f t="shared" si="2"/>
        <v>184668.55</v>
      </c>
      <c r="AI31" s="38">
        <f t="shared" si="2"/>
        <v>139030.46</v>
      </c>
      <c r="AJ31" s="38">
        <f t="shared" si="2"/>
        <v>62278.57</v>
      </c>
      <c r="AK31" s="38">
        <f t="shared" si="1"/>
        <v>7183.08</v>
      </c>
      <c r="AL31" s="39">
        <f t="shared" si="1"/>
        <v>117328</v>
      </c>
      <c r="AM31" s="36">
        <f t="shared" si="1"/>
        <v>347607.98</v>
      </c>
      <c r="AN31" s="36">
        <f t="shared" si="1"/>
        <v>179870.96000000002</v>
      </c>
      <c r="AO31" s="38">
        <f t="shared" si="1"/>
        <v>219298.57</v>
      </c>
      <c r="AP31" s="38">
        <f t="shared" si="1"/>
        <v>213477.37</v>
      </c>
      <c r="AQ31" s="40">
        <f t="shared" si="1"/>
        <v>91337.72</v>
      </c>
      <c r="AR31" s="38">
        <f t="shared" si="1"/>
        <v>101426.59</v>
      </c>
      <c r="AS31" s="38">
        <f t="shared" si="1"/>
        <v>355334.16999999993</v>
      </c>
      <c r="AT31" s="39">
        <f t="shared" si="1"/>
        <v>157752.76</v>
      </c>
      <c r="AU31" s="39">
        <f t="shared" si="1"/>
        <v>228.8</v>
      </c>
      <c r="AV31" s="39">
        <f t="shared" si="1"/>
        <v>331.46999999999997</v>
      </c>
      <c r="AW31" s="39">
        <f t="shared" si="1"/>
        <v>1191.4299999999998</v>
      </c>
      <c r="AX31" s="39">
        <f>SUM(AX19:AX30)</f>
        <v>53330.46</v>
      </c>
      <c r="AY31" s="39">
        <f t="shared" si="1"/>
        <v>2580.2400000000002</v>
      </c>
    </row>
    <row r="32" spans="1:52" ht="13.5" thickTop="1" x14ac:dyDescent="0.2">
      <c r="B32" s="41">
        <f t="shared" ref="B32:AG32" si="3">B31/B16</f>
        <v>13.308717948717948</v>
      </c>
      <c r="C32" s="41">
        <f t="shared" si="3"/>
        <v>13.800597907324363</v>
      </c>
      <c r="D32" s="41" t="e">
        <f t="shared" si="3"/>
        <v>#DIV/0!</v>
      </c>
      <c r="E32" s="41">
        <f t="shared" si="3"/>
        <v>14.264485981308411</v>
      </c>
      <c r="F32" s="41">
        <f t="shared" si="3"/>
        <v>12.566993957703927</v>
      </c>
      <c r="G32" s="41">
        <f t="shared" si="3"/>
        <v>17.458974358974363</v>
      </c>
      <c r="H32" s="41">
        <f t="shared" si="3"/>
        <v>11.912130479102954</v>
      </c>
      <c r="I32" s="41">
        <f t="shared" si="3"/>
        <v>11.996367328519854</v>
      </c>
      <c r="J32" t="e">
        <f t="shared" si="3"/>
        <v>#DIV/0!</v>
      </c>
      <c r="K32" s="41">
        <f t="shared" si="3"/>
        <v>12.533307573415765</v>
      </c>
      <c r="L32" s="41">
        <f t="shared" si="3"/>
        <v>24.726829268292686</v>
      </c>
      <c r="M32" s="41">
        <f t="shared" si="3"/>
        <v>13.142112482853221</v>
      </c>
      <c r="N32" s="42">
        <f t="shared" si="3"/>
        <v>89.582857142857137</v>
      </c>
      <c r="O32" s="42">
        <f t="shared" si="3"/>
        <v>12.734516928158547</v>
      </c>
      <c r="P32" s="42">
        <f t="shared" si="3"/>
        <v>13.52</v>
      </c>
      <c r="Q32" s="42">
        <f t="shared" si="3"/>
        <v>11.825677222434186</v>
      </c>
      <c r="R32" s="42" t="e">
        <f t="shared" si="3"/>
        <v>#DIV/0!</v>
      </c>
      <c r="S32" s="42">
        <f t="shared" si="3"/>
        <v>11.509103053435116</v>
      </c>
      <c r="T32" t="e">
        <f t="shared" si="3"/>
        <v>#DIV/0!</v>
      </c>
      <c r="U32" s="42">
        <f t="shared" si="3"/>
        <v>18.618269230769233</v>
      </c>
      <c r="V32" s="42">
        <f t="shared" si="3"/>
        <v>12.590648246546229</v>
      </c>
      <c r="W32" s="42">
        <f t="shared" si="3"/>
        <v>14.444578313253013</v>
      </c>
      <c r="X32" s="42">
        <f t="shared" si="3"/>
        <v>0.16808335899804949</v>
      </c>
      <c r="Y32" s="42">
        <f t="shared" si="3"/>
        <v>11.538283481136329</v>
      </c>
      <c r="Z32" s="42">
        <f t="shared" si="3"/>
        <v>12.466843853820599</v>
      </c>
      <c r="AA32" s="42">
        <f t="shared" si="3"/>
        <v>11.239979318813418</v>
      </c>
      <c r="AB32" s="42">
        <f t="shared" si="3"/>
        <v>13.760485619309151</v>
      </c>
      <c r="AC32" s="42">
        <f t="shared" si="3"/>
        <v>8.7213507759711195</v>
      </c>
      <c r="AD32" s="42">
        <f t="shared" si="3"/>
        <v>7.8936134266269251</v>
      </c>
      <c r="AE32" s="42">
        <f t="shared" si="3"/>
        <v>13.207142857142857</v>
      </c>
      <c r="AF32" s="42" t="e">
        <f t="shared" si="3"/>
        <v>#DIV/0!</v>
      </c>
      <c r="AG32" s="42">
        <f t="shared" si="3"/>
        <v>8.2219472994469491</v>
      </c>
      <c r="AH32" s="42">
        <f t="shared" ref="AH32:AY32" si="4">AH31/AH16</f>
        <v>6.8058993277707343</v>
      </c>
      <c r="AI32" s="42">
        <f t="shared" si="4"/>
        <v>9.2065835827616347</v>
      </c>
      <c r="AJ32" s="42">
        <f t="shared" si="4"/>
        <v>7.9710447837606067</v>
      </c>
      <c r="AK32" s="42">
        <f t="shared" si="4"/>
        <v>6.6763453852588528</v>
      </c>
      <c r="AL32" s="42">
        <f t="shared" si="4"/>
        <v>7.6510942431593501</v>
      </c>
      <c r="AM32" s="42">
        <f t="shared" si="4"/>
        <v>8.4132968668691674</v>
      </c>
      <c r="AN32" s="42">
        <f t="shared" si="4"/>
        <v>8.5533091766764624</v>
      </c>
      <c r="AO32" s="42">
        <f t="shared" si="4"/>
        <v>7.7974488344640243</v>
      </c>
      <c r="AP32" s="42">
        <f t="shared" si="4"/>
        <v>8.3956632883812947</v>
      </c>
      <c r="AQ32" s="42">
        <f t="shared" si="4"/>
        <v>7.8569405854573295</v>
      </c>
      <c r="AR32" s="42">
        <f t="shared" si="4"/>
        <v>7.970843320471209</v>
      </c>
      <c r="AS32" s="42">
        <f t="shared" si="4"/>
        <v>12.160774066811086</v>
      </c>
      <c r="AT32" s="42">
        <f t="shared" si="4"/>
        <v>9.0618758760138789</v>
      </c>
      <c r="AU32" s="42">
        <f t="shared" si="4"/>
        <v>26.604651162790699</v>
      </c>
      <c r="AV32" s="42">
        <f t="shared" si="4"/>
        <v>18.833522727272722</v>
      </c>
      <c r="AW32" s="42">
        <f t="shared" si="4"/>
        <v>14.099763313609465</v>
      </c>
      <c r="AX32" s="42">
        <f t="shared" si="4"/>
        <v>8.8120389953734293</v>
      </c>
      <c r="AY32" s="42">
        <f t="shared" si="4"/>
        <v>13.587361769352292</v>
      </c>
    </row>
  </sheetData>
  <phoneticPr fontId="17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32"/>
  <sheetViews>
    <sheetView workbookViewId="0">
      <selection activeCell="AY31" sqref="AY31"/>
    </sheetView>
  </sheetViews>
  <sheetFormatPr defaultRowHeight="12.75" x14ac:dyDescent="0.2"/>
  <cols>
    <col min="19" max="19" width="10.28515625" bestFit="1" customWidth="1"/>
    <col min="25" max="26" width="10.28515625" bestFit="1" customWidth="1"/>
    <col min="27" max="27" width="11.28515625" bestFit="1" customWidth="1"/>
    <col min="28" max="28" width="10.28515625" bestFit="1" customWidth="1"/>
    <col min="29" max="29" width="14.28515625" style="25" bestFit="1" customWidth="1"/>
    <col min="30" max="30" width="14.28515625" bestFit="1" customWidth="1"/>
    <col min="31" max="31" width="9.5703125" bestFit="1" customWidth="1"/>
    <col min="32" max="33" width="14.28515625" bestFit="1" customWidth="1"/>
    <col min="34" max="34" width="15.5703125" bestFit="1" customWidth="1"/>
    <col min="35" max="35" width="14" customWidth="1"/>
    <col min="36" max="36" width="14.28515625" bestFit="1" customWidth="1"/>
    <col min="38" max="38" width="12.28515625" customWidth="1"/>
    <col min="39" max="39" width="13" customWidth="1"/>
    <col min="40" max="40" width="12.7109375" customWidth="1"/>
    <col min="41" max="41" width="13.140625" customWidth="1"/>
    <col min="42" max="42" width="15.5703125" bestFit="1" customWidth="1"/>
    <col min="43" max="43" width="14.28515625" bestFit="1" customWidth="1"/>
    <col min="44" max="44" width="12.7109375" customWidth="1"/>
    <col min="45" max="45" width="12.28515625" bestFit="1" customWidth="1"/>
    <col min="46" max="46" width="11.85546875" customWidth="1"/>
    <col min="49" max="49" width="10.85546875" customWidth="1"/>
    <col min="50" max="50" width="14.28515625" bestFit="1" customWidth="1"/>
    <col min="51" max="51" width="10.42578125" customWidth="1"/>
  </cols>
  <sheetData>
    <row r="1" spans="1:52" x14ac:dyDescent="0.2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2"/>
      <c r="S1" s="2"/>
      <c r="V1" s="3"/>
      <c r="X1" s="2"/>
      <c r="Y1" s="3"/>
      <c r="AA1" s="2"/>
      <c r="AB1" s="3"/>
      <c r="AD1" s="2"/>
      <c r="AE1" s="2"/>
      <c r="AF1" s="2"/>
      <c r="AG1" s="5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2" x14ac:dyDescent="0.2">
      <c r="A2" s="1" t="s">
        <v>1</v>
      </c>
      <c r="B2" s="47">
        <v>594386</v>
      </c>
      <c r="C2" s="26">
        <v>1588956</v>
      </c>
      <c r="D2" s="26"/>
      <c r="E2" s="48">
        <v>33513</v>
      </c>
      <c r="F2" s="48">
        <v>33514</v>
      </c>
      <c r="G2" s="48">
        <v>105744</v>
      </c>
      <c r="H2" s="49">
        <v>263686</v>
      </c>
      <c r="I2" s="26">
        <v>263691</v>
      </c>
      <c r="J2" s="48">
        <v>263754</v>
      </c>
      <c r="K2" s="48">
        <v>539243</v>
      </c>
      <c r="L2" s="26">
        <v>539246</v>
      </c>
      <c r="M2" s="26">
        <v>574126</v>
      </c>
      <c r="N2" s="26">
        <v>637887</v>
      </c>
      <c r="O2" s="26">
        <v>637888</v>
      </c>
      <c r="P2" s="26">
        <v>637889</v>
      </c>
      <c r="Q2" s="26">
        <v>637890</v>
      </c>
      <c r="R2" s="26">
        <v>637892</v>
      </c>
      <c r="S2" s="26">
        <v>647598</v>
      </c>
      <c r="T2" s="26">
        <v>647856</v>
      </c>
      <c r="U2" s="26">
        <v>687022</v>
      </c>
      <c r="V2" s="26">
        <v>687023</v>
      </c>
      <c r="W2" s="26">
        <v>687831</v>
      </c>
      <c r="X2" s="26">
        <v>740818</v>
      </c>
      <c r="Y2" s="26">
        <v>740824</v>
      </c>
      <c r="Z2" s="26">
        <v>740838</v>
      </c>
      <c r="AA2" s="26">
        <v>740876</v>
      </c>
      <c r="AB2" s="26">
        <v>740882</v>
      </c>
      <c r="AC2" s="50">
        <v>741089</v>
      </c>
      <c r="AD2" s="50">
        <v>742815</v>
      </c>
      <c r="AE2" s="26">
        <v>742950</v>
      </c>
      <c r="AF2" s="50">
        <v>749325</v>
      </c>
      <c r="AG2" s="51">
        <v>749330</v>
      </c>
      <c r="AH2" s="50">
        <v>749334</v>
      </c>
      <c r="AI2" s="52">
        <v>749339</v>
      </c>
      <c r="AJ2" s="53">
        <v>762803</v>
      </c>
      <c r="AK2" s="54">
        <v>765933</v>
      </c>
      <c r="AL2" s="53">
        <v>868849</v>
      </c>
      <c r="AM2" s="53">
        <v>869044</v>
      </c>
      <c r="AN2" s="53">
        <v>869127</v>
      </c>
      <c r="AO2" s="53">
        <v>869308</v>
      </c>
      <c r="AP2" s="53">
        <v>869309</v>
      </c>
      <c r="AQ2" s="53">
        <v>869446</v>
      </c>
      <c r="AR2" s="53">
        <v>888353</v>
      </c>
      <c r="AS2" s="53">
        <v>888354</v>
      </c>
      <c r="AT2" s="53">
        <v>888355</v>
      </c>
      <c r="AU2" s="48">
        <v>1060882</v>
      </c>
      <c r="AV2" s="26">
        <v>1064052</v>
      </c>
      <c r="AW2" s="7" t="s">
        <v>2</v>
      </c>
      <c r="AX2" s="44">
        <v>672937</v>
      </c>
      <c r="AY2" s="7">
        <v>1342205</v>
      </c>
      <c r="AZ2" s="1"/>
    </row>
    <row r="3" spans="1:52" ht="18.75" x14ac:dyDescent="0.2">
      <c r="A3" s="8">
        <v>2008</v>
      </c>
      <c r="B3" s="9" t="s">
        <v>3</v>
      </c>
      <c r="C3" s="9" t="s">
        <v>3</v>
      </c>
      <c r="D3" s="9" t="s">
        <v>3</v>
      </c>
      <c r="E3" s="8" t="s">
        <v>4</v>
      </c>
      <c r="F3" s="8" t="s">
        <v>4</v>
      </c>
      <c r="G3" s="8" t="s">
        <v>5</v>
      </c>
      <c r="H3" s="8" t="s">
        <v>6</v>
      </c>
      <c r="I3" s="10" t="s">
        <v>6</v>
      </c>
      <c r="J3" s="8" t="s">
        <v>6</v>
      </c>
      <c r="K3" s="11" t="s">
        <v>7</v>
      </c>
      <c r="L3" s="12" t="s">
        <v>8</v>
      </c>
      <c r="M3" s="13" t="s">
        <v>9</v>
      </c>
      <c r="N3" s="14" t="s">
        <v>10</v>
      </c>
      <c r="O3" s="14" t="s">
        <v>11</v>
      </c>
      <c r="P3" s="15" t="s">
        <v>12</v>
      </c>
      <c r="Q3" s="16" t="s">
        <v>13</v>
      </c>
      <c r="R3" s="16" t="s">
        <v>14</v>
      </c>
      <c r="S3" s="13" t="s">
        <v>15</v>
      </c>
      <c r="T3" s="17" t="s">
        <v>16</v>
      </c>
      <c r="U3" s="17" t="s">
        <v>17</v>
      </c>
      <c r="V3" s="17" t="s">
        <v>18</v>
      </c>
      <c r="W3" s="16" t="s">
        <v>19</v>
      </c>
      <c r="X3" s="18" t="s">
        <v>20</v>
      </c>
      <c r="Y3" s="19" t="s">
        <v>21</v>
      </c>
      <c r="Z3" s="16" t="s">
        <v>22</v>
      </c>
      <c r="AA3" s="16" t="s">
        <v>23</v>
      </c>
      <c r="AB3" s="20" t="s">
        <v>24</v>
      </c>
      <c r="AC3" s="20" t="s">
        <v>25</v>
      </c>
      <c r="AD3" s="21" t="s">
        <v>26</v>
      </c>
      <c r="AE3" s="21" t="s">
        <v>26</v>
      </c>
      <c r="AF3" s="20" t="s">
        <v>27</v>
      </c>
      <c r="AG3" s="20" t="s">
        <v>55</v>
      </c>
      <c r="AH3" s="12" t="s">
        <v>28</v>
      </c>
      <c r="AI3" s="22" t="s">
        <v>29</v>
      </c>
      <c r="AJ3" s="12" t="s">
        <v>19</v>
      </c>
      <c r="AK3" s="16" t="s">
        <v>30</v>
      </c>
      <c r="AL3" s="20" t="s">
        <v>4</v>
      </c>
      <c r="AM3" s="16" t="s">
        <v>31</v>
      </c>
      <c r="AN3" s="20" t="s">
        <v>32</v>
      </c>
      <c r="AO3" s="20" t="s">
        <v>5</v>
      </c>
      <c r="AP3" s="20" t="s">
        <v>33</v>
      </c>
      <c r="AQ3" s="20" t="s">
        <v>34</v>
      </c>
      <c r="AR3" s="18" t="s">
        <v>56</v>
      </c>
      <c r="AS3" s="20" t="s">
        <v>35</v>
      </c>
      <c r="AT3" s="20" t="s">
        <v>36</v>
      </c>
      <c r="AU3" s="20" t="s">
        <v>37</v>
      </c>
      <c r="AV3" s="43" t="s">
        <v>38</v>
      </c>
      <c r="AW3" s="75" t="s">
        <v>39</v>
      </c>
      <c r="AX3" s="43" t="s">
        <v>57</v>
      </c>
      <c r="AY3" s="43" t="s">
        <v>40</v>
      </c>
      <c r="AZ3" s="23"/>
    </row>
    <row r="4" spans="1:52" ht="15" x14ac:dyDescent="0.2">
      <c r="A4" s="26" t="s">
        <v>59</v>
      </c>
      <c r="B4" s="65">
        <v>131</v>
      </c>
      <c r="C4" s="65">
        <v>79</v>
      </c>
      <c r="D4" s="3"/>
      <c r="E4" s="65">
        <v>77</v>
      </c>
      <c r="F4" s="65">
        <v>246</v>
      </c>
      <c r="G4" s="65">
        <v>2</v>
      </c>
      <c r="H4" s="65">
        <v>261</v>
      </c>
      <c r="I4" s="65">
        <v>99</v>
      </c>
      <c r="J4" s="3"/>
      <c r="K4" s="65">
        <v>230</v>
      </c>
      <c r="L4" s="65">
        <v>11</v>
      </c>
      <c r="M4" s="65">
        <v>280</v>
      </c>
      <c r="N4" s="65">
        <v>69</v>
      </c>
      <c r="O4" s="71">
        <v>179</v>
      </c>
      <c r="P4" s="65">
        <v>123</v>
      </c>
      <c r="Q4" s="65">
        <v>515</v>
      </c>
      <c r="R4" s="26"/>
      <c r="S4" s="65">
        <v>590</v>
      </c>
      <c r="U4" s="65">
        <v>17</v>
      </c>
      <c r="V4" s="65">
        <v>310</v>
      </c>
      <c r="W4" s="6">
        <v>173</v>
      </c>
      <c r="X4" s="65">
        <v>0</v>
      </c>
      <c r="Y4" s="65">
        <v>1302</v>
      </c>
      <c r="Z4" s="65">
        <v>242</v>
      </c>
      <c r="AA4" s="65">
        <v>2763</v>
      </c>
      <c r="AB4" s="65">
        <v>1143</v>
      </c>
      <c r="AC4" s="72">
        <v>48</v>
      </c>
      <c r="AD4" s="65">
        <v>2801</v>
      </c>
      <c r="AE4" s="65">
        <v>107</v>
      </c>
      <c r="AF4" s="68">
        <v>625</v>
      </c>
      <c r="AG4" s="65">
        <v>37</v>
      </c>
      <c r="AH4" s="65">
        <v>1780</v>
      </c>
      <c r="AI4" s="65">
        <v>0</v>
      </c>
      <c r="AJ4" s="65">
        <v>0</v>
      </c>
      <c r="AK4" s="65">
        <v>41</v>
      </c>
      <c r="AL4" s="65">
        <v>477</v>
      </c>
      <c r="AM4" s="65">
        <v>1953</v>
      </c>
      <c r="AN4" s="65">
        <v>1347</v>
      </c>
      <c r="AO4" s="65">
        <v>122</v>
      </c>
      <c r="AP4" s="65">
        <v>2144</v>
      </c>
      <c r="AQ4" s="65">
        <v>2080</v>
      </c>
      <c r="AR4" s="65">
        <v>0</v>
      </c>
      <c r="AS4" s="65">
        <v>449</v>
      </c>
      <c r="AT4" s="65">
        <v>10</v>
      </c>
      <c r="AU4" s="65">
        <v>2</v>
      </c>
      <c r="AV4" s="65">
        <v>12</v>
      </c>
      <c r="AW4" s="65">
        <v>149</v>
      </c>
      <c r="AX4" s="67">
        <v>0</v>
      </c>
      <c r="AY4" s="65">
        <v>344</v>
      </c>
    </row>
    <row r="5" spans="1:52" ht="15" x14ac:dyDescent="0.2">
      <c r="A5" s="25" t="s">
        <v>42</v>
      </c>
      <c r="B5" s="65">
        <v>244</v>
      </c>
      <c r="C5" s="65">
        <v>61</v>
      </c>
      <c r="D5" s="3"/>
      <c r="E5" s="65">
        <v>143</v>
      </c>
      <c r="F5" s="65">
        <v>368</v>
      </c>
      <c r="G5" s="65">
        <v>2</v>
      </c>
      <c r="H5" s="65">
        <v>607</v>
      </c>
      <c r="I5" s="65">
        <v>554</v>
      </c>
      <c r="J5" s="3"/>
      <c r="K5" s="65">
        <v>322</v>
      </c>
      <c r="L5" s="65">
        <v>15</v>
      </c>
      <c r="M5" s="65">
        <v>442</v>
      </c>
      <c r="N5" s="65">
        <v>143</v>
      </c>
      <c r="O5" s="71">
        <v>320</v>
      </c>
      <c r="P5" s="65">
        <v>193</v>
      </c>
      <c r="Q5" s="65">
        <v>707</v>
      </c>
      <c r="R5" s="26"/>
      <c r="S5" s="65">
        <v>859</v>
      </c>
      <c r="U5" s="65">
        <v>24</v>
      </c>
      <c r="V5" s="65">
        <v>551</v>
      </c>
      <c r="W5" s="6">
        <v>208</v>
      </c>
      <c r="X5" s="65">
        <v>0</v>
      </c>
      <c r="Y5" s="65">
        <v>1963</v>
      </c>
      <c r="Z5" s="65">
        <v>466</v>
      </c>
      <c r="AA5" s="65">
        <v>4615</v>
      </c>
      <c r="AB5" s="65">
        <v>1777</v>
      </c>
      <c r="AC5" s="72">
        <v>83</v>
      </c>
      <c r="AD5" s="65">
        <v>0</v>
      </c>
      <c r="AE5" s="65">
        <v>232</v>
      </c>
      <c r="AF5" s="68">
        <v>0</v>
      </c>
      <c r="AG5" s="65">
        <v>42</v>
      </c>
      <c r="AH5" s="65">
        <v>733</v>
      </c>
      <c r="AI5" s="65">
        <v>1</v>
      </c>
      <c r="AJ5" s="65">
        <v>0</v>
      </c>
      <c r="AK5" s="65">
        <v>136</v>
      </c>
      <c r="AL5" s="65">
        <v>536</v>
      </c>
      <c r="AM5" s="65">
        <v>1322</v>
      </c>
      <c r="AN5" s="65">
        <v>720</v>
      </c>
      <c r="AO5" s="65">
        <v>67</v>
      </c>
      <c r="AP5" s="65">
        <v>58</v>
      </c>
      <c r="AQ5" s="65">
        <v>445</v>
      </c>
      <c r="AR5" s="65">
        <v>0</v>
      </c>
      <c r="AS5" s="65">
        <v>635</v>
      </c>
      <c r="AT5" s="65">
        <v>0</v>
      </c>
      <c r="AU5" s="65">
        <v>2</v>
      </c>
      <c r="AV5" s="65">
        <v>12</v>
      </c>
      <c r="AW5" s="65">
        <v>313</v>
      </c>
      <c r="AX5" s="67">
        <v>0</v>
      </c>
      <c r="AY5" s="65">
        <v>517</v>
      </c>
    </row>
    <row r="6" spans="1:52" ht="15" x14ac:dyDescent="0.2">
      <c r="A6" s="25" t="s">
        <v>43</v>
      </c>
      <c r="B6" s="65">
        <v>226</v>
      </c>
      <c r="C6" s="65">
        <v>52</v>
      </c>
      <c r="D6" s="3"/>
      <c r="E6" s="65">
        <v>94</v>
      </c>
      <c r="F6" s="65">
        <v>251</v>
      </c>
      <c r="G6" s="65">
        <v>2</v>
      </c>
      <c r="H6" s="65">
        <v>423</v>
      </c>
      <c r="I6" s="65">
        <v>640</v>
      </c>
      <c r="J6" s="3"/>
      <c r="K6" s="65">
        <v>284</v>
      </c>
      <c r="L6" s="65">
        <v>12</v>
      </c>
      <c r="M6" s="65">
        <v>470</v>
      </c>
      <c r="N6" s="65">
        <v>100</v>
      </c>
      <c r="O6" s="71">
        <v>245</v>
      </c>
      <c r="P6" s="65">
        <v>133</v>
      </c>
      <c r="Q6" s="65">
        <v>557</v>
      </c>
      <c r="R6" s="26"/>
      <c r="S6" s="65">
        <v>962</v>
      </c>
      <c r="U6" s="65">
        <v>19</v>
      </c>
      <c r="V6" s="65">
        <v>399</v>
      </c>
      <c r="W6" s="6">
        <v>173</v>
      </c>
      <c r="X6" s="65">
        <v>0</v>
      </c>
      <c r="Y6" s="65">
        <v>1318</v>
      </c>
      <c r="Z6" s="65">
        <v>320</v>
      </c>
      <c r="AA6" s="65">
        <v>3328</v>
      </c>
      <c r="AB6" s="65">
        <v>1264</v>
      </c>
      <c r="AC6" s="72">
        <v>39</v>
      </c>
      <c r="AD6" s="65">
        <v>0</v>
      </c>
      <c r="AE6" s="65">
        <v>154</v>
      </c>
      <c r="AF6" s="68">
        <v>0</v>
      </c>
      <c r="AG6" s="65">
        <v>47</v>
      </c>
      <c r="AH6" s="65">
        <v>0</v>
      </c>
      <c r="AI6" s="65">
        <v>0</v>
      </c>
      <c r="AJ6" s="65">
        <v>0</v>
      </c>
      <c r="AK6" s="65">
        <v>64</v>
      </c>
      <c r="AL6" s="65">
        <v>422</v>
      </c>
      <c r="AM6" s="65">
        <v>632</v>
      </c>
      <c r="AN6" s="65">
        <v>400</v>
      </c>
      <c r="AO6" s="65">
        <v>0</v>
      </c>
      <c r="AP6" s="65">
        <v>121</v>
      </c>
      <c r="AQ6" s="65">
        <v>472</v>
      </c>
      <c r="AR6" s="65">
        <v>0</v>
      </c>
      <c r="AS6" s="65">
        <v>488</v>
      </c>
      <c r="AT6" s="65">
        <v>0</v>
      </c>
      <c r="AU6" s="65">
        <v>2</v>
      </c>
      <c r="AV6" s="65">
        <v>1</v>
      </c>
      <c r="AW6" s="65">
        <v>221</v>
      </c>
      <c r="AX6" s="67">
        <v>0</v>
      </c>
      <c r="AY6" s="65">
        <v>527</v>
      </c>
    </row>
    <row r="7" spans="1:52" ht="15" x14ac:dyDescent="0.2">
      <c r="A7" s="25" t="s">
        <v>44</v>
      </c>
      <c r="B7" s="65">
        <v>144</v>
      </c>
      <c r="C7" s="65">
        <v>68</v>
      </c>
      <c r="D7" s="3"/>
      <c r="E7" s="65">
        <v>70</v>
      </c>
      <c r="F7" s="65">
        <v>173</v>
      </c>
      <c r="G7" s="65">
        <v>3</v>
      </c>
      <c r="H7" s="65">
        <v>260</v>
      </c>
      <c r="I7" s="65">
        <v>605</v>
      </c>
      <c r="J7" s="3"/>
      <c r="K7" s="65">
        <v>221</v>
      </c>
      <c r="L7" s="65">
        <v>13</v>
      </c>
      <c r="M7" s="65">
        <v>215</v>
      </c>
      <c r="N7" s="65">
        <v>58</v>
      </c>
      <c r="O7" s="71">
        <v>156</v>
      </c>
      <c r="P7" s="65">
        <v>73</v>
      </c>
      <c r="Q7" s="65">
        <v>463</v>
      </c>
      <c r="R7" s="26"/>
      <c r="S7" s="65">
        <v>468</v>
      </c>
      <c r="U7" s="65">
        <v>20</v>
      </c>
      <c r="V7" s="65">
        <v>222</v>
      </c>
      <c r="W7" s="6">
        <v>124</v>
      </c>
      <c r="X7" s="65">
        <v>0</v>
      </c>
      <c r="Y7" s="65">
        <v>731</v>
      </c>
      <c r="Z7" s="65">
        <v>186</v>
      </c>
      <c r="AA7" s="65">
        <v>2212</v>
      </c>
      <c r="AB7" s="65">
        <v>915</v>
      </c>
      <c r="AC7" s="72">
        <v>37</v>
      </c>
      <c r="AD7" s="65">
        <v>0</v>
      </c>
      <c r="AE7" s="65">
        <v>91</v>
      </c>
      <c r="AF7" s="68">
        <v>0</v>
      </c>
      <c r="AG7" s="65">
        <v>19</v>
      </c>
      <c r="AH7" s="65">
        <v>0</v>
      </c>
      <c r="AI7" s="65">
        <v>0</v>
      </c>
      <c r="AJ7" s="65">
        <v>0</v>
      </c>
      <c r="AK7" s="65">
        <v>41</v>
      </c>
      <c r="AL7" s="65">
        <v>401</v>
      </c>
      <c r="AM7" s="65">
        <v>347</v>
      </c>
      <c r="AN7" s="65">
        <v>338</v>
      </c>
      <c r="AO7" s="65">
        <v>0</v>
      </c>
      <c r="AP7" s="65">
        <v>2142</v>
      </c>
      <c r="AQ7" s="65">
        <v>334</v>
      </c>
      <c r="AR7" s="65">
        <v>0</v>
      </c>
      <c r="AS7" s="65">
        <v>319</v>
      </c>
      <c r="AT7" s="65">
        <v>60</v>
      </c>
      <c r="AU7" s="65">
        <v>2</v>
      </c>
      <c r="AV7" s="65">
        <v>1</v>
      </c>
      <c r="AW7" s="65">
        <v>110</v>
      </c>
      <c r="AX7" s="67">
        <v>0</v>
      </c>
      <c r="AY7" s="65">
        <v>307</v>
      </c>
    </row>
    <row r="8" spans="1:52" ht="15" x14ac:dyDescent="0.2">
      <c r="A8" s="25" t="s">
        <v>45</v>
      </c>
      <c r="B8" s="65">
        <v>55</v>
      </c>
      <c r="C8" s="65">
        <v>30</v>
      </c>
      <c r="D8" s="3"/>
      <c r="E8" s="65">
        <v>48</v>
      </c>
      <c r="F8" s="65">
        <v>73</v>
      </c>
      <c r="G8" s="65">
        <v>2</v>
      </c>
      <c r="H8" s="65">
        <v>131</v>
      </c>
      <c r="I8" s="65">
        <v>61</v>
      </c>
      <c r="J8" s="3"/>
      <c r="K8" s="65">
        <v>93</v>
      </c>
      <c r="L8" s="65">
        <v>10</v>
      </c>
      <c r="M8" s="65">
        <v>40</v>
      </c>
      <c r="N8" s="65">
        <v>12</v>
      </c>
      <c r="O8" s="71">
        <v>57</v>
      </c>
      <c r="P8" s="65">
        <v>34</v>
      </c>
      <c r="Q8" s="65">
        <v>215</v>
      </c>
      <c r="R8" s="26"/>
      <c r="S8" s="65">
        <v>140</v>
      </c>
      <c r="U8" s="65">
        <v>19</v>
      </c>
      <c r="V8" s="65">
        <v>101</v>
      </c>
      <c r="W8" s="6">
        <v>48</v>
      </c>
      <c r="X8" s="65">
        <v>1</v>
      </c>
      <c r="Y8" s="65">
        <v>248</v>
      </c>
      <c r="Z8" s="65">
        <v>42</v>
      </c>
      <c r="AA8" s="65">
        <v>939</v>
      </c>
      <c r="AB8" s="65">
        <v>536</v>
      </c>
      <c r="AC8" s="72">
        <v>12</v>
      </c>
      <c r="AD8" s="65">
        <v>0</v>
      </c>
      <c r="AE8" s="65">
        <v>33</v>
      </c>
      <c r="AF8" s="68">
        <v>0</v>
      </c>
      <c r="AG8" s="65">
        <v>0</v>
      </c>
      <c r="AH8" s="65">
        <v>0</v>
      </c>
      <c r="AI8" s="65">
        <v>0</v>
      </c>
      <c r="AJ8" s="65">
        <v>0</v>
      </c>
      <c r="AK8" s="65">
        <v>5</v>
      </c>
      <c r="AL8" s="65">
        <v>385</v>
      </c>
      <c r="AM8" s="65">
        <v>92</v>
      </c>
      <c r="AN8" s="65">
        <v>89</v>
      </c>
      <c r="AO8" s="65">
        <v>689</v>
      </c>
      <c r="AP8" s="65">
        <v>229</v>
      </c>
      <c r="AQ8" s="65">
        <v>194</v>
      </c>
      <c r="AR8" s="65">
        <v>0</v>
      </c>
      <c r="AS8" s="65">
        <v>183</v>
      </c>
      <c r="AT8" s="65">
        <v>134</v>
      </c>
      <c r="AU8" s="65">
        <v>2</v>
      </c>
      <c r="AV8" s="65">
        <v>1</v>
      </c>
      <c r="AW8" s="65">
        <v>27</v>
      </c>
      <c r="AX8" s="67">
        <v>0</v>
      </c>
      <c r="AY8" s="65">
        <v>139</v>
      </c>
    </row>
    <row r="9" spans="1:52" ht="15" x14ac:dyDescent="0.2">
      <c r="A9" s="25" t="s">
        <v>46</v>
      </c>
      <c r="B9" s="65">
        <v>10</v>
      </c>
      <c r="C9" s="65">
        <v>15</v>
      </c>
      <c r="D9" s="3"/>
      <c r="E9" s="65">
        <v>23</v>
      </c>
      <c r="F9" s="65">
        <v>14</v>
      </c>
      <c r="G9" s="65">
        <v>3</v>
      </c>
      <c r="H9" s="65">
        <v>21</v>
      </c>
      <c r="I9" s="65">
        <v>13</v>
      </c>
      <c r="J9" s="3"/>
      <c r="K9" s="65">
        <v>22</v>
      </c>
      <c r="L9" s="65">
        <v>10</v>
      </c>
      <c r="M9" s="65">
        <v>15</v>
      </c>
      <c r="N9" s="65">
        <v>0</v>
      </c>
      <c r="O9" s="71">
        <v>9</v>
      </c>
      <c r="P9" s="65">
        <v>25</v>
      </c>
      <c r="Q9" s="65">
        <v>24</v>
      </c>
      <c r="R9" s="26"/>
      <c r="S9" s="65">
        <v>11</v>
      </c>
      <c r="U9" s="65">
        <v>15</v>
      </c>
      <c r="V9" s="65">
        <v>7</v>
      </c>
      <c r="W9" s="6">
        <v>19</v>
      </c>
      <c r="X9" s="65">
        <v>0</v>
      </c>
      <c r="Y9" s="65">
        <v>41</v>
      </c>
      <c r="Z9" s="65">
        <v>0</v>
      </c>
      <c r="AA9" s="65">
        <v>333</v>
      </c>
      <c r="AB9" s="65">
        <v>176</v>
      </c>
      <c r="AC9" s="72">
        <v>0</v>
      </c>
      <c r="AD9" s="65">
        <v>0</v>
      </c>
      <c r="AE9" s="65">
        <v>6</v>
      </c>
      <c r="AF9" s="68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267</v>
      </c>
      <c r="AM9" s="65">
        <v>17</v>
      </c>
      <c r="AN9" s="65">
        <v>0</v>
      </c>
      <c r="AO9" s="65">
        <v>0</v>
      </c>
      <c r="AP9" s="65">
        <v>0</v>
      </c>
      <c r="AQ9" s="65">
        <v>52</v>
      </c>
      <c r="AR9" s="65">
        <v>0</v>
      </c>
      <c r="AS9" s="65">
        <v>24</v>
      </c>
      <c r="AT9" s="65">
        <v>154</v>
      </c>
      <c r="AU9" s="65">
        <v>2</v>
      </c>
      <c r="AV9" s="65">
        <v>2</v>
      </c>
      <c r="AW9" s="65">
        <v>1</v>
      </c>
      <c r="AX9" s="67">
        <v>0</v>
      </c>
      <c r="AY9" s="65">
        <v>11</v>
      </c>
    </row>
    <row r="10" spans="1:52" ht="15" x14ac:dyDescent="0.2">
      <c r="A10" s="25" t="s">
        <v>47</v>
      </c>
      <c r="B10" s="65">
        <v>3</v>
      </c>
      <c r="C10" s="65">
        <v>9</v>
      </c>
      <c r="D10" s="3"/>
      <c r="E10" s="65">
        <v>18</v>
      </c>
      <c r="F10" s="65">
        <v>33</v>
      </c>
      <c r="G10" s="65">
        <v>3</v>
      </c>
      <c r="H10" s="65">
        <v>7</v>
      </c>
      <c r="I10" s="65">
        <v>14</v>
      </c>
      <c r="J10" s="3"/>
      <c r="K10" s="65">
        <v>0</v>
      </c>
      <c r="L10" s="65">
        <v>9</v>
      </c>
      <c r="M10" s="65">
        <v>11</v>
      </c>
      <c r="N10" s="65">
        <v>0</v>
      </c>
      <c r="O10" s="71">
        <v>9</v>
      </c>
      <c r="P10" s="65">
        <v>23</v>
      </c>
      <c r="Q10" s="65">
        <v>0</v>
      </c>
      <c r="R10" s="26"/>
      <c r="S10" s="65">
        <v>2</v>
      </c>
      <c r="U10" s="65">
        <v>18</v>
      </c>
      <c r="V10" s="65">
        <v>8</v>
      </c>
      <c r="W10" s="6">
        <v>5</v>
      </c>
      <c r="X10" s="65">
        <v>0</v>
      </c>
      <c r="Y10" s="65">
        <v>37</v>
      </c>
      <c r="Z10" s="65">
        <v>1</v>
      </c>
      <c r="AA10" s="65">
        <v>205</v>
      </c>
      <c r="AB10" s="65">
        <v>161</v>
      </c>
      <c r="AC10" s="72">
        <v>0</v>
      </c>
      <c r="AD10" s="65">
        <v>0</v>
      </c>
      <c r="AE10" s="65">
        <v>4</v>
      </c>
      <c r="AF10" s="68">
        <v>0</v>
      </c>
      <c r="AG10" s="65">
        <v>0</v>
      </c>
      <c r="AH10" s="65">
        <v>1188</v>
      </c>
      <c r="AI10" s="65">
        <v>0</v>
      </c>
      <c r="AJ10" s="65">
        <v>0</v>
      </c>
      <c r="AK10" s="65">
        <v>0</v>
      </c>
      <c r="AL10" s="65">
        <v>255</v>
      </c>
      <c r="AM10" s="65">
        <v>2039</v>
      </c>
      <c r="AN10" s="65">
        <v>4</v>
      </c>
      <c r="AO10" s="65">
        <v>0</v>
      </c>
      <c r="AP10" s="65">
        <v>0</v>
      </c>
      <c r="AQ10" s="65">
        <v>41</v>
      </c>
      <c r="AR10" s="65">
        <v>0</v>
      </c>
      <c r="AS10" s="65">
        <v>17</v>
      </c>
      <c r="AT10" s="65">
        <v>9</v>
      </c>
      <c r="AU10" s="65">
        <v>3</v>
      </c>
      <c r="AV10" s="65">
        <v>1</v>
      </c>
      <c r="AW10" s="65">
        <v>1</v>
      </c>
      <c r="AX10" s="67">
        <v>0</v>
      </c>
      <c r="AY10" s="65">
        <v>0</v>
      </c>
    </row>
    <row r="11" spans="1:52" ht="15" x14ac:dyDescent="0.2">
      <c r="A11" s="25" t="s">
        <v>48</v>
      </c>
      <c r="B11" s="65">
        <v>0</v>
      </c>
      <c r="C11" s="65">
        <v>0</v>
      </c>
      <c r="D11" s="3"/>
      <c r="E11" s="65">
        <v>13</v>
      </c>
      <c r="F11" s="65">
        <v>50</v>
      </c>
      <c r="G11" s="65">
        <v>3</v>
      </c>
      <c r="H11" s="65">
        <v>2</v>
      </c>
      <c r="I11" s="65">
        <v>14</v>
      </c>
      <c r="J11" s="3"/>
      <c r="K11" s="65">
        <v>0</v>
      </c>
      <c r="L11" s="65">
        <v>9</v>
      </c>
      <c r="M11" s="65">
        <v>11</v>
      </c>
      <c r="N11" s="65">
        <v>0</v>
      </c>
      <c r="O11" s="71">
        <v>10</v>
      </c>
      <c r="P11" s="65">
        <v>23</v>
      </c>
      <c r="Q11" s="65">
        <v>0</v>
      </c>
      <c r="R11" s="26"/>
      <c r="S11" s="65">
        <v>0</v>
      </c>
      <c r="U11" s="65">
        <v>15</v>
      </c>
      <c r="V11" s="65">
        <v>7</v>
      </c>
      <c r="W11" s="6">
        <v>6</v>
      </c>
      <c r="X11" s="65">
        <v>0</v>
      </c>
      <c r="Y11" s="65">
        <v>42</v>
      </c>
      <c r="Z11" s="65">
        <v>1</v>
      </c>
      <c r="AA11" s="65">
        <v>235</v>
      </c>
      <c r="AB11" s="65">
        <v>133</v>
      </c>
      <c r="AC11" s="72">
        <v>0</v>
      </c>
      <c r="AD11" s="65">
        <v>0</v>
      </c>
      <c r="AE11" s="65">
        <v>1</v>
      </c>
      <c r="AF11" s="68">
        <v>0</v>
      </c>
      <c r="AG11" s="65">
        <v>0</v>
      </c>
      <c r="AH11" s="65">
        <v>0</v>
      </c>
      <c r="AI11" s="65">
        <v>3</v>
      </c>
      <c r="AJ11" s="65">
        <v>0</v>
      </c>
      <c r="AK11" s="65">
        <v>0</v>
      </c>
      <c r="AL11" s="65">
        <v>240</v>
      </c>
      <c r="AM11" s="65">
        <v>39</v>
      </c>
      <c r="AN11" s="65">
        <v>0</v>
      </c>
      <c r="AO11" s="65">
        <v>0</v>
      </c>
      <c r="AP11" s="65">
        <v>0</v>
      </c>
      <c r="AQ11" s="65">
        <v>60</v>
      </c>
      <c r="AR11" s="65">
        <v>0</v>
      </c>
      <c r="AS11" s="65">
        <v>20</v>
      </c>
      <c r="AT11" s="65">
        <v>0</v>
      </c>
      <c r="AU11" s="65">
        <v>8</v>
      </c>
      <c r="AV11" s="65">
        <v>1</v>
      </c>
      <c r="AW11" s="65">
        <v>1</v>
      </c>
      <c r="AX11" s="67">
        <v>14</v>
      </c>
      <c r="AY11" s="65">
        <v>0</v>
      </c>
    </row>
    <row r="12" spans="1:52" ht="15" x14ac:dyDescent="0.2">
      <c r="A12" s="25" t="s">
        <v>49</v>
      </c>
      <c r="B12" s="65">
        <v>0</v>
      </c>
      <c r="C12" s="65">
        <v>8</v>
      </c>
      <c r="D12" s="3"/>
      <c r="E12" s="65">
        <v>17</v>
      </c>
      <c r="F12" s="65">
        <v>0</v>
      </c>
      <c r="G12" s="65">
        <v>2</v>
      </c>
      <c r="H12" s="65">
        <v>7</v>
      </c>
      <c r="I12" s="65">
        <v>14</v>
      </c>
      <c r="J12" s="3"/>
      <c r="K12" s="65">
        <v>1</v>
      </c>
      <c r="L12" s="65">
        <v>9</v>
      </c>
      <c r="M12" s="65">
        <v>12</v>
      </c>
      <c r="N12" s="65">
        <v>0</v>
      </c>
      <c r="O12" s="71">
        <v>8</v>
      </c>
      <c r="P12" s="65">
        <v>26</v>
      </c>
      <c r="Q12" s="65">
        <v>0</v>
      </c>
      <c r="R12" s="26"/>
      <c r="S12" s="65">
        <v>0</v>
      </c>
      <c r="U12" s="65">
        <v>16</v>
      </c>
      <c r="V12" s="65">
        <v>6</v>
      </c>
      <c r="W12" s="6">
        <v>5</v>
      </c>
      <c r="X12" s="65">
        <v>0</v>
      </c>
      <c r="Y12" s="65">
        <v>36</v>
      </c>
      <c r="Z12" s="65">
        <v>0</v>
      </c>
      <c r="AA12" s="65">
        <v>210</v>
      </c>
      <c r="AB12" s="65">
        <v>120</v>
      </c>
      <c r="AC12" s="72">
        <v>905</v>
      </c>
      <c r="AD12" s="65">
        <v>4540</v>
      </c>
      <c r="AE12" s="65">
        <v>122</v>
      </c>
      <c r="AF12" s="68">
        <v>0</v>
      </c>
      <c r="AG12" s="65">
        <v>7</v>
      </c>
      <c r="AH12" s="65">
        <v>0</v>
      </c>
      <c r="AI12" s="65">
        <v>10</v>
      </c>
      <c r="AJ12" s="65">
        <v>0</v>
      </c>
      <c r="AK12" s="65">
        <v>0</v>
      </c>
      <c r="AL12" s="65">
        <v>2778</v>
      </c>
      <c r="AM12" s="65">
        <v>2142</v>
      </c>
      <c r="AN12" s="65">
        <v>1543</v>
      </c>
      <c r="AO12" s="65">
        <v>2219</v>
      </c>
      <c r="AP12" s="65">
        <v>0</v>
      </c>
      <c r="AQ12" s="65">
        <v>183</v>
      </c>
      <c r="AR12" s="65">
        <v>0</v>
      </c>
      <c r="AS12" s="65">
        <v>24</v>
      </c>
      <c r="AT12" s="65">
        <v>141</v>
      </c>
      <c r="AU12" s="65">
        <v>0</v>
      </c>
      <c r="AV12" s="65">
        <v>24</v>
      </c>
      <c r="AW12" s="65">
        <v>0</v>
      </c>
      <c r="AX12" s="67">
        <v>10066</v>
      </c>
      <c r="AY12" s="65">
        <v>0</v>
      </c>
    </row>
    <row r="13" spans="1:52" ht="15" x14ac:dyDescent="0.2">
      <c r="A13" s="25" t="s">
        <v>50</v>
      </c>
      <c r="B13" s="65">
        <v>0</v>
      </c>
      <c r="C13" s="65">
        <v>9</v>
      </c>
      <c r="D13" s="3"/>
      <c r="E13" s="65">
        <v>15</v>
      </c>
      <c r="F13" s="65">
        <v>0</v>
      </c>
      <c r="G13" s="65">
        <v>3</v>
      </c>
      <c r="H13" s="65">
        <v>6</v>
      </c>
      <c r="I13" s="65">
        <v>13</v>
      </c>
      <c r="J13" s="3"/>
      <c r="K13" s="65">
        <v>0</v>
      </c>
      <c r="L13" s="65">
        <v>10</v>
      </c>
      <c r="M13" s="65">
        <v>9</v>
      </c>
      <c r="N13" s="65">
        <v>0</v>
      </c>
      <c r="O13" s="71">
        <v>10</v>
      </c>
      <c r="P13" s="65">
        <v>53</v>
      </c>
      <c r="Q13" s="65">
        <v>0</v>
      </c>
      <c r="R13" s="26"/>
      <c r="S13" s="65">
        <v>212</v>
      </c>
      <c r="U13" s="65">
        <v>16</v>
      </c>
      <c r="V13" s="65">
        <v>9</v>
      </c>
      <c r="W13" s="6">
        <v>6</v>
      </c>
      <c r="X13" s="65">
        <v>0</v>
      </c>
      <c r="Y13" s="65">
        <v>39</v>
      </c>
      <c r="Z13" s="65">
        <v>1</v>
      </c>
      <c r="AA13" s="65">
        <v>226</v>
      </c>
      <c r="AB13" s="65">
        <v>145</v>
      </c>
      <c r="AC13" s="72">
        <v>32368</v>
      </c>
      <c r="AD13" s="65">
        <v>42344</v>
      </c>
      <c r="AE13" s="65">
        <v>47</v>
      </c>
      <c r="AF13" s="68">
        <v>24810</v>
      </c>
      <c r="AG13" s="65">
        <v>27513</v>
      </c>
      <c r="AH13" s="65">
        <v>39209</v>
      </c>
      <c r="AI13" s="65">
        <v>49747</v>
      </c>
      <c r="AJ13" s="65">
        <v>5589</v>
      </c>
      <c r="AK13" s="65">
        <v>0</v>
      </c>
      <c r="AL13" s="65">
        <v>56572</v>
      </c>
      <c r="AM13" s="65">
        <v>70196</v>
      </c>
      <c r="AN13" s="65">
        <v>63564</v>
      </c>
      <c r="AO13" s="65">
        <v>65661</v>
      </c>
      <c r="AP13" s="65">
        <v>0</v>
      </c>
      <c r="AQ13" s="65">
        <v>41546</v>
      </c>
      <c r="AR13" s="65">
        <v>30549</v>
      </c>
      <c r="AS13" s="65">
        <v>105595</v>
      </c>
      <c r="AT13" s="65">
        <v>32905</v>
      </c>
      <c r="AU13" s="65">
        <v>2</v>
      </c>
      <c r="AV13" s="65">
        <v>43</v>
      </c>
      <c r="AW13" s="65">
        <v>1</v>
      </c>
      <c r="AX13" s="67">
        <v>34892</v>
      </c>
      <c r="AY13" s="65">
        <v>0</v>
      </c>
    </row>
    <row r="14" spans="1:52" ht="15" x14ac:dyDescent="0.2">
      <c r="A14" s="25" t="s">
        <v>51</v>
      </c>
      <c r="B14" s="65">
        <v>22</v>
      </c>
      <c r="C14" s="65">
        <v>11</v>
      </c>
      <c r="D14" s="3"/>
      <c r="E14" s="65">
        <v>22</v>
      </c>
      <c r="F14" s="65">
        <v>27</v>
      </c>
      <c r="G14" s="65">
        <v>2</v>
      </c>
      <c r="H14" s="65">
        <v>55</v>
      </c>
      <c r="I14" s="65">
        <v>92</v>
      </c>
      <c r="J14" s="3"/>
      <c r="K14" s="65">
        <v>35</v>
      </c>
      <c r="L14" s="65">
        <v>12</v>
      </c>
      <c r="M14" s="65">
        <v>15</v>
      </c>
      <c r="N14" s="65">
        <v>0</v>
      </c>
      <c r="O14" s="71">
        <v>25</v>
      </c>
      <c r="P14" s="65">
        <v>116</v>
      </c>
      <c r="Q14" s="65">
        <v>98</v>
      </c>
      <c r="R14" s="26"/>
      <c r="S14" s="65">
        <v>424</v>
      </c>
      <c r="U14" s="65">
        <v>14</v>
      </c>
      <c r="V14" s="65">
        <v>46</v>
      </c>
      <c r="W14" s="6">
        <v>31</v>
      </c>
      <c r="X14" s="65">
        <v>1</v>
      </c>
      <c r="Y14" s="65">
        <v>180</v>
      </c>
      <c r="Z14" s="65">
        <v>23</v>
      </c>
      <c r="AA14" s="65">
        <v>667</v>
      </c>
      <c r="AB14" s="65">
        <v>213</v>
      </c>
      <c r="AC14" s="72">
        <v>33291</v>
      </c>
      <c r="AD14" s="65">
        <v>22610</v>
      </c>
      <c r="AE14" s="65">
        <v>73</v>
      </c>
      <c r="AF14" s="68">
        <v>43495</v>
      </c>
      <c r="AG14" s="65">
        <v>40602</v>
      </c>
      <c r="AH14" s="65">
        <v>146287</v>
      </c>
      <c r="AI14" s="65">
        <v>55742</v>
      </c>
      <c r="AJ14" s="65">
        <v>10178</v>
      </c>
      <c r="AK14" s="65">
        <v>4</v>
      </c>
      <c r="AL14" s="65">
        <v>41099</v>
      </c>
      <c r="AM14" s="65">
        <v>222979</v>
      </c>
      <c r="AN14" s="65">
        <v>86787</v>
      </c>
      <c r="AO14" s="65">
        <v>132208</v>
      </c>
      <c r="AP14" s="65">
        <v>169134</v>
      </c>
      <c r="AQ14" s="65">
        <v>48205</v>
      </c>
      <c r="AR14" s="65">
        <v>61761</v>
      </c>
      <c r="AS14" s="65">
        <v>111204</v>
      </c>
      <c r="AT14" s="65">
        <v>0</v>
      </c>
      <c r="AU14" s="65">
        <v>5</v>
      </c>
      <c r="AV14" s="65">
        <v>22</v>
      </c>
      <c r="AW14" s="65">
        <v>14</v>
      </c>
      <c r="AX14" s="67">
        <v>8376</v>
      </c>
      <c r="AY14" s="65">
        <v>37</v>
      </c>
    </row>
    <row r="15" spans="1:52" ht="15" x14ac:dyDescent="0.2">
      <c r="A15" s="25" t="s">
        <v>52</v>
      </c>
      <c r="B15" s="65">
        <v>117</v>
      </c>
      <c r="C15" s="65">
        <v>61</v>
      </c>
      <c r="D15" s="3"/>
      <c r="E15" s="65">
        <v>75</v>
      </c>
      <c r="F15" s="65">
        <v>206</v>
      </c>
      <c r="G15" s="65">
        <v>12</v>
      </c>
      <c r="H15" s="65">
        <v>308</v>
      </c>
      <c r="I15" s="65">
        <v>424</v>
      </c>
      <c r="J15" s="3"/>
      <c r="K15" s="65">
        <v>162</v>
      </c>
      <c r="L15" s="65">
        <v>12</v>
      </c>
      <c r="M15" s="65">
        <v>118</v>
      </c>
      <c r="N15" s="65">
        <v>21</v>
      </c>
      <c r="O15" s="71">
        <v>69</v>
      </c>
      <c r="P15" s="65">
        <v>161</v>
      </c>
      <c r="Q15" s="65">
        <v>291</v>
      </c>
      <c r="R15" s="26"/>
      <c r="S15" s="65">
        <v>439</v>
      </c>
      <c r="U15" s="65">
        <v>20</v>
      </c>
      <c r="V15" s="65">
        <v>251</v>
      </c>
      <c r="W15" s="6">
        <v>106</v>
      </c>
      <c r="X15" s="65">
        <v>0</v>
      </c>
      <c r="Y15" s="65">
        <v>657</v>
      </c>
      <c r="Z15" s="65">
        <v>158</v>
      </c>
      <c r="AA15" s="65">
        <v>1463</v>
      </c>
      <c r="AB15" s="65">
        <v>774</v>
      </c>
      <c r="AC15" s="72">
        <v>1138</v>
      </c>
      <c r="AD15" s="65">
        <v>1648</v>
      </c>
      <c r="AE15" s="65">
        <v>140</v>
      </c>
      <c r="AF15" s="68">
        <v>104</v>
      </c>
      <c r="AG15" s="65">
        <v>353</v>
      </c>
      <c r="AH15" s="65">
        <v>21806</v>
      </c>
      <c r="AI15" s="65">
        <v>0</v>
      </c>
      <c r="AJ15" s="65">
        <v>0</v>
      </c>
      <c r="AK15" s="65">
        <v>24</v>
      </c>
      <c r="AL15" s="65">
        <v>7633</v>
      </c>
      <c r="AM15" s="65">
        <v>6756</v>
      </c>
      <c r="AN15" s="65">
        <v>4280</v>
      </c>
      <c r="AO15" s="65">
        <v>6905</v>
      </c>
      <c r="AP15" s="65">
        <v>9274</v>
      </c>
      <c r="AQ15" s="65">
        <v>550</v>
      </c>
      <c r="AR15" s="65">
        <v>27348</v>
      </c>
      <c r="AS15" s="65">
        <v>116072</v>
      </c>
      <c r="AT15" s="65">
        <v>0</v>
      </c>
      <c r="AU15" s="65">
        <v>5</v>
      </c>
      <c r="AV15" s="65">
        <v>46</v>
      </c>
      <c r="AW15" s="65">
        <v>95</v>
      </c>
      <c r="AX15" s="67"/>
      <c r="AY15" s="65">
        <v>201</v>
      </c>
    </row>
    <row r="16" spans="1:52" ht="13.5" thickBot="1" x14ac:dyDescent="0.25">
      <c r="A16" s="26" t="s">
        <v>58</v>
      </c>
      <c r="B16" s="55">
        <f>SUM(B4:B15)/10</f>
        <v>95.2</v>
      </c>
      <c r="C16" s="56">
        <v>61</v>
      </c>
      <c r="D16" s="56"/>
      <c r="E16" s="57">
        <f>SUM(E4:E15)/10</f>
        <v>61.5</v>
      </c>
      <c r="F16" s="58">
        <v>27</v>
      </c>
      <c r="G16" s="27">
        <v>2</v>
      </c>
      <c r="H16" s="58">
        <f>SUM(H4:H15)/10</f>
        <v>208.8</v>
      </c>
      <c r="I16" s="59">
        <f>SUM(H19:H30)/10</f>
        <v>252.24200000000002</v>
      </c>
      <c r="J16" s="60"/>
      <c r="K16" s="58">
        <f t="shared" ref="K16:S16" si="0">SUM(K4:K15)/10</f>
        <v>137</v>
      </c>
      <c r="L16" s="58">
        <f t="shared" si="0"/>
        <v>13.2</v>
      </c>
      <c r="M16" s="60">
        <f t="shared" si="0"/>
        <v>163.80000000000001</v>
      </c>
      <c r="N16" s="58">
        <f t="shared" si="0"/>
        <v>40.299999999999997</v>
      </c>
      <c r="O16" s="59">
        <f t="shared" si="0"/>
        <v>109.7</v>
      </c>
      <c r="P16" s="60">
        <f t="shared" si="0"/>
        <v>98.3</v>
      </c>
      <c r="Q16" s="60">
        <f t="shared" si="0"/>
        <v>287</v>
      </c>
      <c r="R16" s="60">
        <f t="shared" si="0"/>
        <v>0</v>
      </c>
      <c r="S16" s="60">
        <f t="shared" si="0"/>
        <v>410.7</v>
      </c>
      <c r="T16" s="60"/>
      <c r="U16" s="57">
        <f t="shared" ref="U16:AL16" si="1">SUM(U4:U15)/10</f>
        <v>21.3</v>
      </c>
      <c r="V16" s="60">
        <f t="shared" si="1"/>
        <v>191.7</v>
      </c>
      <c r="W16" s="60">
        <f t="shared" si="1"/>
        <v>90.4</v>
      </c>
      <c r="X16" s="60">
        <f t="shared" si="1"/>
        <v>0.2</v>
      </c>
      <c r="Y16" s="57">
        <f t="shared" si="1"/>
        <v>659.4</v>
      </c>
      <c r="Z16" s="60">
        <f t="shared" si="1"/>
        <v>144</v>
      </c>
      <c r="AA16" s="60">
        <f t="shared" si="1"/>
        <v>1719.6</v>
      </c>
      <c r="AB16" s="60">
        <f t="shared" si="1"/>
        <v>735.7</v>
      </c>
      <c r="AC16" s="73">
        <f t="shared" si="1"/>
        <v>6792.1</v>
      </c>
      <c r="AD16" s="57">
        <f>SUM(AD4:AD15)/10</f>
        <v>7394.3</v>
      </c>
      <c r="AE16" s="61"/>
      <c r="AF16" s="60">
        <f>SUM(AF4:AF15)/10</f>
        <v>6903.4</v>
      </c>
      <c r="AG16" s="57">
        <f t="shared" si="1"/>
        <v>6862</v>
      </c>
      <c r="AH16" s="57">
        <f>SUM(AH4:AH15)/10</f>
        <v>21100.3</v>
      </c>
      <c r="AI16" s="60">
        <f>SUM(AI4:AI15)/10</f>
        <v>10550.3</v>
      </c>
      <c r="AJ16" s="60">
        <f>SUM(AJ4:AJ15)/10</f>
        <v>1576.7</v>
      </c>
      <c r="AK16" s="60">
        <f>SUM(AK4:AK15)/10</f>
        <v>31.5</v>
      </c>
      <c r="AL16" s="60">
        <f t="shared" si="1"/>
        <v>11106.5</v>
      </c>
      <c r="AM16" s="60">
        <f t="shared" ref="AM16:AU16" si="2">SUM(AM4:AM15)/10</f>
        <v>30851.4</v>
      </c>
      <c r="AN16" s="57">
        <f t="shared" si="2"/>
        <v>15907.2</v>
      </c>
      <c r="AO16" s="60">
        <f t="shared" si="2"/>
        <v>20787.099999999999</v>
      </c>
      <c r="AP16" s="60">
        <f t="shared" si="2"/>
        <v>18310.2</v>
      </c>
      <c r="AQ16" s="57">
        <f t="shared" si="2"/>
        <v>9416.2000000000007</v>
      </c>
      <c r="AR16" s="60">
        <f t="shared" si="2"/>
        <v>11965.8</v>
      </c>
      <c r="AS16" s="62">
        <f t="shared" si="2"/>
        <v>33503</v>
      </c>
      <c r="AT16" s="58">
        <f t="shared" si="2"/>
        <v>3341.3</v>
      </c>
      <c r="AU16" s="58">
        <f t="shared" si="2"/>
        <v>3.5</v>
      </c>
      <c r="AV16" s="63">
        <f>SUM(AV4:AV15)/10</f>
        <v>16.600000000000001</v>
      </c>
      <c r="AW16" s="63">
        <f>SUM(AW4:AW15)/10</f>
        <v>93.3</v>
      </c>
      <c r="AX16" s="63">
        <f>SUM(AX4:AX15)/10</f>
        <v>5334.8</v>
      </c>
      <c r="AY16" s="63"/>
      <c r="AZ16" s="64">
        <f>SUM(U16:AY16)</f>
        <v>225409.79999999996</v>
      </c>
    </row>
    <row r="17" spans="1:52" ht="13.5" thickTop="1" x14ac:dyDescent="0.2">
      <c r="B17" s="28"/>
      <c r="C17" s="29"/>
      <c r="D17" s="29"/>
      <c r="E17" s="25"/>
      <c r="F17" s="6" t="s">
        <v>60</v>
      </c>
      <c r="G17" s="6" t="s">
        <v>60</v>
      </c>
      <c r="AS17" s="6"/>
      <c r="AT17" s="30"/>
    </row>
    <row r="18" spans="1:52" x14ac:dyDescent="0.2">
      <c r="A18" s="25">
        <v>2008</v>
      </c>
      <c r="B18" s="31" t="s">
        <v>53</v>
      </c>
      <c r="C18" s="31" t="s">
        <v>53</v>
      </c>
      <c r="D18" s="31" t="s">
        <v>53</v>
      </c>
      <c r="E18" s="31" t="s">
        <v>53</v>
      </c>
      <c r="F18" s="31" t="s">
        <v>53</v>
      </c>
      <c r="G18" s="31" t="s">
        <v>53</v>
      </c>
      <c r="H18" s="31" t="s">
        <v>53</v>
      </c>
      <c r="I18" s="31" t="s">
        <v>53</v>
      </c>
      <c r="J18" s="31" t="s">
        <v>53</v>
      </c>
      <c r="K18" s="31" t="s">
        <v>53</v>
      </c>
      <c r="L18" s="31" t="s">
        <v>53</v>
      </c>
      <c r="M18" s="31" t="s">
        <v>53</v>
      </c>
      <c r="N18" s="31" t="s">
        <v>53</v>
      </c>
      <c r="O18" s="31" t="s">
        <v>53</v>
      </c>
      <c r="P18" s="31" t="s">
        <v>53</v>
      </c>
      <c r="Q18" s="31" t="s">
        <v>53</v>
      </c>
      <c r="R18" s="31" t="s">
        <v>53</v>
      </c>
      <c r="S18" s="31" t="s">
        <v>53</v>
      </c>
      <c r="T18" s="31" t="s">
        <v>53</v>
      </c>
      <c r="U18" s="31" t="s">
        <v>53</v>
      </c>
      <c r="V18" s="31" t="s">
        <v>53</v>
      </c>
      <c r="W18" s="31" t="s">
        <v>53</v>
      </c>
      <c r="X18" s="31" t="s">
        <v>53</v>
      </c>
      <c r="Y18" s="31" t="s">
        <v>53</v>
      </c>
      <c r="Z18" s="31" t="s">
        <v>53</v>
      </c>
      <c r="AA18" s="31" t="s">
        <v>53</v>
      </c>
      <c r="AB18" s="31" t="s">
        <v>53</v>
      </c>
      <c r="AC18" s="31" t="s">
        <v>53</v>
      </c>
      <c r="AD18" s="31" t="s">
        <v>53</v>
      </c>
      <c r="AE18" s="31" t="s">
        <v>53</v>
      </c>
      <c r="AF18" s="31" t="s">
        <v>53</v>
      </c>
      <c r="AG18" s="31" t="s">
        <v>53</v>
      </c>
      <c r="AH18" s="31" t="s">
        <v>53</v>
      </c>
      <c r="AI18" s="31" t="s">
        <v>53</v>
      </c>
      <c r="AJ18" s="31" t="s">
        <v>53</v>
      </c>
      <c r="AK18" s="31" t="s">
        <v>53</v>
      </c>
      <c r="AL18" s="31" t="s">
        <v>53</v>
      </c>
      <c r="AM18" s="31" t="s">
        <v>53</v>
      </c>
      <c r="AN18" s="31" t="s">
        <v>53</v>
      </c>
      <c r="AO18" s="31" t="s">
        <v>53</v>
      </c>
      <c r="AP18" s="31" t="s">
        <v>53</v>
      </c>
      <c r="AQ18" s="31" t="s">
        <v>53</v>
      </c>
      <c r="AR18" s="31" t="s">
        <v>53</v>
      </c>
      <c r="AS18" s="31" t="s">
        <v>53</v>
      </c>
      <c r="AT18" s="31" t="s">
        <v>53</v>
      </c>
      <c r="AU18" s="31" t="s">
        <v>53</v>
      </c>
      <c r="AV18" s="31" t="s">
        <v>53</v>
      </c>
      <c r="AW18" s="31" t="s">
        <v>53</v>
      </c>
      <c r="AX18" s="31" t="s">
        <v>53</v>
      </c>
      <c r="AY18" s="31" t="s">
        <v>53</v>
      </c>
      <c r="AZ18" s="31"/>
    </row>
    <row r="19" spans="1:52" ht="15" x14ac:dyDescent="0.2">
      <c r="A19" s="25" t="s">
        <v>41</v>
      </c>
      <c r="B19" s="32">
        <v>151.96</v>
      </c>
      <c r="C19" s="32">
        <v>98.04</v>
      </c>
      <c r="D19" s="30"/>
      <c r="E19" s="32">
        <v>106.93</v>
      </c>
      <c r="F19" s="32">
        <v>272.19</v>
      </c>
      <c r="G19" s="32">
        <v>15.11</v>
      </c>
      <c r="H19" s="32">
        <v>300.7</v>
      </c>
      <c r="I19" s="32">
        <v>122.48</v>
      </c>
      <c r="J19" s="33"/>
      <c r="K19" s="32">
        <v>256.73</v>
      </c>
      <c r="L19" s="32">
        <v>25.65</v>
      </c>
      <c r="M19" s="32">
        <v>321.61</v>
      </c>
      <c r="N19" s="32">
        <v>86.49</v>
      </c>
      <c r="O19" s="32">
        <v>202.57</v>
      </c>
      <c r="P19" s="32">
        <v>159.52000000000001</v>
      </c>
      <c r="Q19" s="32">
        <v>556.5</v>
      </c>
      <c r="R19" s="32"/>
      <c r="S19" s="32">
        <v>635.63</v>
      </c>
      <c r="T19" s="30"/>
      <c r="U19" s="32">
        <v>33.619999999999997</v>
      </c>
      <c r="V19" s="32">
        <v>354.61</v>
      </c>
      <c r="W19" s="32">
        <v>195.66</v>
      </c>
      <c r="X19" s="32">
        <v>13.55</v>
      </c>
      <c r="Y19" s="32">
        <v>1387.71</v>
      </c>
      <c r="Z19" s="32">
        <v>269.05</v>
      </c>
      <c r="AA19" s="32">
        <v>871.85</v>
      </c>
      <c r="AB19" s="32">
        <v>1224.1400000000001</v>
      </c>
      <c r="AC19" s="34">
        <v>53.39</v>
      </c>
      <c r="AD19" s="32">
        <v>2997.23</v>
      </c>
      <c r="AE19" s="32">
        <v>131.08000000000001</v>
      </c>
      <c r="AF19" s="32">
        <v>695.09</v>
      </c>
      <c r="AG19" s="32">
        <v>42.89</v>
      </c>
      <c r="AH19" s="32">
        <v>1953.34</v>
      </c>
      <c r="AI19" s="32">
        <v>13</v>
      </c>
      <c r="AJ19" s="32">
        <v>0</v>
      </c>
      <c r="AK19" s="32">
        <v>58.76</v>
      </c>
      <c r="AL19" s="32">
        <v>529.63</v>
      </c>
      <c r="AM19" s="32">
        <v>2220.0100000000002</v>
      </c>
      <c r="AN19" s="32">
        <v>1429.84</v>
      </c>
      <c r="AO19" s="32">
        <v>135.47999999999999</v>
      </c>
      <c r="AP19" s="70">
        <v>2324.02</v>
      </c>
      <c r="AQ19" s="32">
        <v>2255.35</v>
      </c>
      <c r="AR19" s="32">
        <v>0</v>
      </c>
      <c r="AS19" s="32">
        <v>529.32000000000005</v>
      </c>
      <c r="AT19" s="32">
        <v>11.59</v>
      </c>
      <c r="AU19" s="32">
        <v>12.94</v>
      </c>
      <c r="AV19" s="32">
        <v>26.15</v>
      </c>
      <c r="AW19" s="32">
        <v>177.87</v>
      </c>
      <c r="AX19" s="46">
        <v>0</v>
      </c>
      <c r="AY19" s="32">
        <v>429.71</v>
      </c>
    </row>
    <row r="20" spans="1:52" ht="15" x14ac:dyDescent="0.2">
      <c r="A20" s="25" t="s">
        <v>42</v>
      </c>
      <c r="B20" s="32">
        <v>269.38</v>
      </c>
      <c r="C20" s="32">
        <v>77.25</v>
      </c>
      <c r="D20" s="30"/>
      <c r="E20" s="32">
        <v>179.53</v>
      </c>
      <c r="F20" s="32">
        <v>398</v>
      </c>
      <c r="G20" s="32">
        <v>15.1</v>
      </c>
      <c r="H20" s="32">
        <v>676.59</v>
      </c>
      <c r="I20" s="32">
        <v>618.67999999999995</v>
      </c>
      <c r="J20" s="33"/>
      <c r="K20" s="32">
        <v>350.66</v>
      </c>
      <c r="L20" s="32">
        <v>29.96</v>
      </c>
      <c r="M20" s="32">
        <v>496.72</v>
      </c>
      <c r="N20" s="32">
        <v>163.61000000000001</v>
      </c>
      <c r="O20" s="32">
        <v>349.23</v>
      </c>
      <c r="P20" s="32">
        <v>236.11</v>
      </c>
      <c r="Q20" s="32">
        <v>754.37</v>
      </c>
      <c r="R20" s="32"/>
      <c r="S20" s="32">
        <v>926.75</v>
      </c>
      <c r="T20" s="30"/>
      <c r="U20" s="32">
        <v>42.86</v>
      </c>
      <c r="V20" s="32">
        <v>615.89</v>
      </c>
      <c r="W20" s="32">
        <v>231.04</v>
      </c>
      <c r="X20" s="32">
        <v>13.55</v>
      </c>
      <c r="Y20" s="32">
        <v>2054.9899999999998</v>
      </c>
      <c r="Z20" s="32">
        <v>502.32</v>
      </c>
      <c r="AA20" s="32">
        <v>5736.48</v>
      </c>
      <c r="AB20" s="32">
        <v>1872.89</v>
      </c>
      <c r="AC20" s="34">
        <v>91.68</v>
      </c>
      <c r="AD20" s="32">
        <v>0</v>
      </c>
      <c r="AE20" s="32">
        <v>266.58999999999997</v>
      </c>
      <c r="AF20" s="32">
        <v>0</v>
      </c>
      <c r="AG20" s="32">
        <v>48.35</v>
      </c>
      <c r="AH20" s="32">
        <v>809.65</v>
      </c>
      <c r="AI20" s="32">
        <v>14.04</v>
      </c>
      <c r="AJ20" s="32">
        <v>0</v>
      </c>
      <c r="AK20" s="32">
        <v>162.28</v>
      </c>
      <c r="AL20" s="32">
        <v>591.20000000000005</v>
      </c>
      <c r="AM20" s="32">
        <v>1523.47</v>
      </c>
      <c r="AN20" s="32">
        <v>766.43</v>
      </c>
      <c r="AO20" s="32">
        <v>74</v>
      </c>
      <c r="AP20" s="70">
        <v>64.08</v>
      </c>
      <c r="AQ20" s="32">
        <v>491.54</v>
      </c>
      <c r="AR20" s="32">
        <v>0</v>
      </c>
      <c r="AS20" s="32">
        <v>745.22</v>
      </c>
      <c r="AT20" s="32">
        <v>0</v>
      </c>
      <c r="AU20" s="32">
        <v>12.9</v>
      </c>
      <c r="AV20" s="32">
        <v>26.09</v>
      </c>
      <c r="AW20" s="32">
        <v>355.44</v>
      </c>
      <c r="AX20" s="46">
        <v>0</v>
      </c>
      <c r="AY20" s="32">
        <v>625.32000000000005</v>
      </c>
    </row>
    <row r="21" spans="1:52" ht="15" x14ac:dyDescent="0.2">
      <c r="A21" s="25" t="s">
        <v>43</v>
      </c>
      <c r="B21" s="32">
        <v>249.34</v>
      </c>
      <c r="C21" s="32">
        <v>67.540000000000006</v>
      </c>
      <c r="D21" s="30"/>
      <c r="E21" s="32">
        <v>123.45</v>
      </c>
      <c r="F21" s="32">
        <v>274.68</v>
      </c>
      <c r="G21" s="32">
        <v>15.09</v>
      </c>
      <c r="H21" s="32">
        <v>473.32</v>
      </c>
      <c r="I21" s="32">
        <v>709.17</v>
      </c>
      <c r="J21" s="33"/>
      <c r="K21" s="32">
        <v>309.51</v>
      </c>
      <c r="L21" s="32">
        <v>26.62</v>
      </c>
      <c r="M21" s="32">
        <v>525.09</v>
      </c>
      <c r="N21" s="32">
        <v>118.07</v>
      </c>
      <c r="O21" s="32">
        <v>269.45999999999998</v>
      </c>
      <c r="P21" s="32" t="s">
        <v>60</v>
      </c>
      <c r="Q21" s="32">
        <v>594.53</v>
      </c>
      <c r="R21" s="32"/>
      <c r="S21" s="32">
        <v>1017.36</v>
      </c>
      <c r="T21" s="30"/>
      <c r="U21" s="32">
        <v>35.78</v>
      </c>
      <c r="V21" s="32">
        <v>447.23</v>
      </c>
      <c r="W21" s="32">
        <v>193.71</v>
      </c>
      <c r="X21" s="32">
        <v>13.55</v>
      </c>
      <c r="Y21" s="32">
        <v>1389.68</v>
      </c>
      <c r="Z21" s="32">
        <v>347.76</v>
      </c>
      <c r="AA21" s="32">
        <v>4419.26</v>
      </c>
      <c r="AB21" s="32">
        <v>1337.48</v>
      </c>
      <c r="AC21" s="34">
        <v>42.92</v>
      </c>
      <c r="AD21" s="32">
        <v>0</v>
      </c>
      <c r="AE21" s="32">
        <v>180.93</v>
      </c>
      <c r="AF21" s="32">
        <v>0</v>
      </c>
      <c r="AG21" s="32">
        <v>53.87</v>
      </c>
      <c r="AH21" s="32">
        <v>0</v>
      </c>
      <c r="AI21" s="32">
        <v>13</v>
      </c>
      <c r="AJ21" s="32">
        <v>0</v>
      </c>
      <c r="AK21" s="32">
        <v>83.37</v>
      </c>
      <c r="AL21" s="32">
        <v>463.96</v>
      </c>
      <c r="AM21" s="32">
        <v>724.36</v>
      </c>
      <c r="AN21" s="32">
        <v>431.14</v>
      </c>
      <c r="AO21" s="32">
        <v>0</v>
      </c>
      <c r="AP21" s="70">
        <v>133.03</v>
      </c>
      <c r="AQ21" s="32">
        <v>18.02</v>
      </c>
      <c r="AR21" s="32">
        <v>0</v>
      </c>
      <c r="AS21" s="32">
        <v>569.42999999999995</v>
      </c>
      <c r="AT21" s="32">
        <v>0</v>
      </c>
      <c r="AU21" s="32">
        <v>12.87</v>
      </c>
      <c r="AV21" s="32">
        <v>11.72</v>
      </c>
      <c r="AW21" s="32">
        <v>254.09</v>
      </c>
      <c r="AX21" s="46">
        <v>0</v>
      </c>
      <c r="AY21" s="32">
        <v>630.91999999999996</v>
      </c>
    </row>
    <row r="22" spans="1:52" ht="15" x14ac:dyDescent="0.2">
      <c r="A22" s="25" t="s">
        <v>44</v>
      </c>
      <c r="B22" s="32">
        <v>164.86</v>
      </c>
      <c r="C22" s="32">
        <v>97.82</v>
      </c>
      <c r="D22" s="30"/>
      <c r="E22" s="32">
        <v>98.05</v>
      </c>
      <c r="F22" s="32">
        <v>194.59</v>
      </c>
      <c r="G22" s="32">
        <v>16.13</v>
      </c>
      <c r="H22" s="32">
        <v>298.05</v>
      </c>
      <c r="I22" s="32">
        <v>675.55</v>
      </c>
      <c r="J22" s="33"/>
      <c r="K22" s="32">
        <v>244.1</v>
      </c>
      <c r="L22" s="32">
        <v>27.72</v>
      </c>
      <c r="M22" s="32">
        <v>247.94</v>
      </c>
      <c r="N22" s="32">
        <v>74.33</v>
      </c>
      <c r="O22" s="32">
        <v>176.8</v>
      </c>
      <c r="P22" s="32">
        <v>315.49</v>
      </c>
      <c r="Q22" s="32">
        <v>497.17</v>
      </c>
      <c r="R22" s="32"/>
      <c r="S22" s="32">
        <v>502.38</v>
      </c>
      <c r="T22" s="30"/>
      <c r="U22" s="32">
        <v>37.369999999999997</v>
      </c>
      <c r="V22" s="32">
        <v>255.97</v>
      </c>
      <c r="W22" s="32">
        <v>142.75</v>
      </c>
      <c r="X22" s="32">
        <v>13.55</v>
      </c>
      <c r="Y22" s="32">
        <v>778.05</v>
      </c>
      <c r="Z22" s="32">
        <v>208.17</v>
      </c>
      <c r="AA22" s="32">
        <v>2300.38</v>
      </c>
      <c r="AB22" s="32">
        <v>973.59</v>
      </c>
      <c r="AC22" s="34">
        <v>40.78</v>
      </c>
      <c r="AD22" s="32">
        <v>0</v>
      </c>
      <c r="AE22" s="32">
        <v>113.12</v>
      </c>
      <c r="AF22" s="32">
        <v>0</v>
      </c>
      <c r="AG22" s="32">
        <v>21.91</v>
      </c>
      <c r="AH22" s="32">
        <v>0</v>
      </c>
      <c r="AI22" s="32">
        <v>13</v>
      </c>
      <c r="AJ22" s="32">
        <v>0</v>
      </c>
      <c r="AK22" s="32">
        <v>58.49</v>
      </c>
      <c r="AL22" s="32">
        <v>443.67</v>
      </c>
      <c r="AM22" s="32">
        <v>399.43</v>
      </c>
      <c r="AN22" s="32">
        <v>431.6</v>
      </c>
      <c r="AO22" s="32">
        <v>0</v>
      </c>
      <c r="AP22" s="70">
        <v>2309.92</v>
      </c>
      <c r="AQ22" s="32">
        <v>370.52</v>
      </c>
      <c r="AR22" s="32">
        <v>0</v>
      </c>
      <c r="AS22" s="32">
        <v>372.79</v>
      </c>
      <c r="AT22" s="32">
        <v>69.2</v>
      </c>
      <c r="AU22" s="32">
        <v>12.9</v>
      </c>
      <c r="AV22" s="32">
        <v>11.72</v>
      </c>
      <c r="AW22" s="32">
        <v>132.72999999999999</v>
      </c>
      <c r="AX22" s="46">
        <v>0</v>
      </c>
      <c r="AY22" s="32">
        <v>373.92</v>
      </c>
    </row>
    <row r="23" spans="1:52" ht="15" x14ac:dyDescent="0.2">
      <c r="A23" s="25" t="s">
        <v>45</v>
      </c>
      <c r="B23" s="32">
        <v>81.86</v>
      </c>
      <c r="C23" s="32">
        <v>50.89</v>
      </c>
      <c r="D23" s="30"/>
      <c r="E23" s="32">
        <v>82.46</v>
      </c>
      <c r="F23" s="32">
        <v>103.44</v>
      </c>
      <c r="G23" s="32">
        <v>15.47</v>
      </c>
      <c r="H23" s="32">
        <v>182.75</v>
      </c>
      <c r="I23" s="32">
        <v>92.34</v>
      </c>
      <c r="J23" s="33"/>
      <c r="K23" s="32">
        <v>128.32</v>
      </c>
      <c r="L23" s="32">
        <v>26.48</v>
      </c>
      <c r="M23" s="32">
        <v>65.27</v>
      </c>
      <c r="N23" s="32">
        <v>28.54</v>
      </c>
      <c r="O23" s="32">
        <v>84.3</v>
      </c>
      <c r="P23" s="32">
        <v>116.27</v>
      </c>
      <c r="Q23" s="32">
        <v>279.37</v>
      </c>
      <c r="R23" s="32"/>
      <c r="S23" s="32">
        <v>186.46</v>
      </c>
      <c r="T23" s="30"/>
      <c r="U23" s="32">
        <v>40.17</v>
      </c>
      <c r="V23" s="32">
        <v>144</v>
      </c>
      <c r="W23" s="32">
        <v>72.62</v>
      </c>
      <c r="X23" s="32">
        <v>14.83</v>
      </c>
      <c r="Y23" s="32">
        <v>320.94</v>
      </c>
      <c r="Z23" s="32">
        <v>65.69</v>
      </c>
      <c r="AA23" s="32">
        <v>1177.06</v>
      </c>
      <c r="AB23" s="32">
        <v>680.23</v>
      </c>
      <c r="AC23" s="34">
        <v>13.94</v>
      </c>
      <c r="AD23" s="32">
        <v>0</v>
      </c>
      <c r="AE23" s="32">
        <v>56.18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20.18</v>
      </c>
      <c r="AL23" s="32">
        <v>447.27</v>
      </c>
      <c r="AM23" s="32">
        <v>168.34</v>
      </c>
      <c r="AN23" s="32">
        <v>554.89</v>
      </c>
      <c r="AO23" s="32">
        <v>800.42</v>
      </c>
      <c r="AP23" s="70">
        <v>266.02</v>
      </c>
      <c r="AQ23" s="32">
        <v>225.38</v>
      </c>
      <c r="AR23" s="32">
        <v>0</v>
      </c>
      <c r="AS23" s="32">
        <v>112.18</v>
      </c>
      <c r="AT23" s="32">
        <v>162.29</v>
      </c>
      <c r="AU23" s="32">
        <v>13.32</v>
      </c>
      <c r="AV23" s="32">
        <v>11.95</v>
      </c>
      <c r="AW23" s="32">
        <v>48.44</v>
      </c>
      <c r="AX23" s="46">
        <v>0</v>
      </c>
      <c r="AY23" s="32">
        <v>213.02</v>
      </c>
    </row>
    <row r="24" spans="1:52" ht="15" x14ac:dyDescent="0.2">
      <c r="A24" s="25" t="s">
        <v>46</v>
      </c>
      <c r="B24" s="32">
        <v>26.11</v>
      </c>
      <c r="C24" s="32">
        <v>32.31</v>
      </c>
      <c r="D24" s="30"/>
      <c r="E24" s="32">
        <v>44.61</v>
      </c>
      <c r="F24" s="32">
        <v>30.34</v>
      </c>
      <c r="G24" s="32">
        <v>16.72</v>
      </c>
      <c r="H24" s="32">
        <v>40.69</v>
      </c>
      <c r="I24" s="32">
        <v>30.35</v>
      </c>
      <c r="J24" s="33"/>
      <c r="K24" s="32">
        <v>40.270000000000003</v>
      </c>
      <c r="L24" s="32">
        <v>26.47</v>
      </c>
      <c r="M24" s="32">
        <v>32.93</v>
      </c>
      <c r="N24" s="32">
        <v>13.67</v>
      </c>
      <c r="O24" s="32">
        <v>24.83</v>
      </c>
      <c r="P24" s="32">
        <v>61.35</v>
      </c>
      <c r="Q24" s="32">
        <v>42.73</v>
      </c>
      <c r="R24" s="32"/>
      <c r="S24" s="32">
        <v>26.62</v>
      </c>
      <c r="T24" s="30"/>
      <c r="U24" s="32">
        <v>33.869999999999997</v>
      </c>
      <c r="V24" s="32">
        <v>22.6</v>
      </c>
      <c r="W24" s="32">
        <v>36.630000000000003</v>
      </c>
      <c r="X24" s="32">
        <v>13.55</v>
      </c>
      <c r="Y24" s="32">
        <v>64.47</v>
      </c>
      <c r="Z24" s="32">
        <v>13.67</v>
      </c>
      <c r="AA24" s="32">
        <v>426.28</v>
      </c>
      <c r="AB24" s="32">
        <v>232.98</v>
      </c>
      <c r="AC24" s="34">
        <v>0</v>
      </c>
      <c r="AD24" s="32">
        <v>0</v>
      </c>
      <c r="AE24" s="32">
        <v>21.29</v>
      </c>
      <c r="AF24" s="32">
        <v>0</v>
      </c>
      <c r="AG24" s="32">
        <v>0</v>
      </c>
      <c r="AH24" s="32">
        <v>0</v>
      </c>
      <c r="AI24" s="32">
        <v>13</v>
      </c>
      <c r="AJ24" s="32">
        <v>0</v>
      </c>
      <c r="AK24" s="32">
        <v>13.72</v>
      </c>
      <c r="AL24" s="32">
        <v>310.20999999999998</v>
      </c>
      <c r="AM24" s="32">
        <v>20.6</v>
      </c>
      <c r="AN24" s="32">
        <v>-346.94</v>
      </c>
      <c r="AO24" s="32">
        <v>-800.42</v>
      </c>
      <c r="AP24" s="70">
        <v>-266.02</v>
      </c>
      <c r="AQ24" s="32">
        <v>60.41</v>
      </c>
      <c r="AR24" s="32">
        <v>0</v>
      </c>
      <c r="AS24" s="32">
        <v>28.33</v>
      </c>
      <c r="AT24" s="32">
        <v>186.52</v>
      </c>
      <c r="AU24" s="32">
        <v>13.32</v>
      </c>
      <c r="AV24" s="32">
        <v>13.45</v>
      </c>
      <c r="AW24" s="32">
        <v>14.83</v>
      </c>
      <c r="AX24" s="46">
        <v>0</v>
      </c>
      <c r="AY24" s="32">
        <v>27.52</v>
      </c>
    </row>
    <row r="25" spans="1:52" ht="15" x14ac:dyDescent="0.2">
      <c r="A25" s="25" t="s">
        <v>47</v>
      </c>
      <c r="B25" s="32">
        <v>17.440000000000001</v>
      </c>
      <c r="C25" s="32">
        <v>24.88</v>
      </c>
      <c r="D25" s="30"/>
      <c r="E25" s="32">
        <v>37.03</v>
      </c>
      <c r="F25" s="32">
        <v>53.89</v>
      </c>
      <c r="G25" s="32">
        <v>16.72</v>
      </c>
      <c r="H25" s="32">
        <v>22.6</v>
      </c>
      <c r="I25" s="32">
        <v>31.63</v>
      </c>
      <c r="J25" s="33"/>
      <c r="K25" s="32">
        <v>13</v>
      </c>
      <c r="L25" s="32">
        <v>25.19</v>
      </c>
      <c r="M25" s="32">
        <v>27.76</v>
      </c>
      <c r="N25" s="32">
        <v>13.67</v>
      </c>
      <c r="O25" s="32">
        <v>24.83</v>
      </c>
      <c r="P25" s="32">
        <v>47.71</v>
      </c>
      <c r="Q25" s="32">
        <v>13</v>
      </c>
      <c r="R25" s="32"/>
      <c r="S25" s="32">
        <v>15.47</v>
      </c>
      <c r="T25" s="30"/>
      <c r="U25" s="32">
        <v>38.6</v>
      </c>
      <c r="V25" s="32">
        <v>23.88</v>
      </c>
      <c r="W25" s="32">
        <v>19.28</v>
      </c>
      <c r="X25" s="32">
        <v>13.55</v>
      </c>
      <c r="Y25" s="32">
        <v>59.52</v>
      </c>
      <c r="Z25" s="32">
        <v>14.9</v>
      </c>
      <c r="AA25" s="32">
        <v>267.69</v>
      </c>
      <c r="AB25" s="32">
        <v>214.42</v>
      </c>
      <c r="AC25" s="34">
        <v>0</v>
      </c>
      <c r="AD25" s="32">
        <v>0</v>
      </c>
      <c r="AE25" s="32">
        <v>18.72</v>
      </c>
      <c r="AF25" s="32">
        <v>0</v>
      </c>
      <c r="AG25" s="32">
        <v>0</v>
      </c>
      <c r="AH25" s="32">
        <v>1380.34</v>
      </c>
      <c r="AI25" s="32">
        <v>13</v>
      </c>
      <c r="AJ25" s="32">
        <v>0</v>
      </c>
      <c r="AK25" s="32">
        <v>13.72</v>
      </c>
      <c r="AL25" s="32">
        <v>296.29000000000002</v>
      </c>
      <c r="AM25" s="32">
        <v>2417.13</v>
      </c>
      <c r="AN25" s="32">
        <v>17.96</v>
      </c>
      <c r="AO25" s="32">
        <v>-800.42</v>
      </c>
      <c r="AP25" s="70">
        <v>-266.02</v>
      </c>
      <c r="AQ25" s="32">
        <v>66.239999999999995</v>
      </c>
      <c r="AR25" s="32">
        <v>0</v>
      </c>
      <c r="AS25" s="32">
        <v>20.95</v>
      </c>
      <c r="AT25" s="32">
        <v>10.9</v>
      </c>
      <c r="AU25" s="32">
        <v>14.9</v>
      </c>
      <c r="AV25" s="32">
        <v>26.74</v>
      </c>
      <c r="AW25" s="32">
        <v>14.83</v>
      </c>
      <c r="AX25" s="46">
        <v>0</v>
      </c>
      <c r="AY25" s="32">
        <v>10.16</v>
      </c>
    </row>
    <row r="26" spans="1:52" ht="15" x14ac:dyDescent="0.2">
      <c r="A26" s="25" t="s">
        <v>48</v>
      </c>
      <c r="B26" s="32">
        <v>13.72</v>
      </c>
      <c r="C26" s="32"/>
      <c r="D26" s="30"/>
      <c r="E26" s="32">
        <v>29.46</v>
      </c>
      <c r="F26" s="32">
        <v>58.25</v>
      </c>
      <c r="G26" s="32">
        <v>16.72</v>
      </c>
      <c r="H26" s="32">
        <v>16.13</v>
      </c>
      <c r="I26" s="32">
        <v>31.63</v>
      </c>
      <c r="J26" s="33"/>
      <c r="K26" s="32">
        <v>13</v>
      </c>
      <c r="L26" s="32">
        <v>25.19</v>
      </c>
      <c r="M26" s="32">
        <v>27.76</v>
      </c>
      <c r="N26" s="32">
        <v>13.67</v>
      </c>
      <c r="O26" s="32">
        <v>26.07</v>
      </c>
      <c r="P26" s="32">
        <v>44.7</v>
      </c>
      <c r="Q26" s="32">
        <v>13</v>
      </c>
      <c r="R26" s="32"/>
      <c r="S26" s="32">
        <v>13</v>
      </c>
      <c r="T26" s="30"/>
      <c r="U26" s="32">
        <v>33.869999999999997</v>
      </c>
      <c r="V26" s="32">
        <v>22.6</v>
      </c>
      <c r="W26" s="32">
        <v>20.51</v>
      </c>
      <c r="X26" s="32">
        <v>13.55</v>
      </c>
      <c r="Y26" s="32">
        <v>65.7</v>
      </c>
      <c r="Z26" s="32">
        <v>14.9</v>
      </c>
      <c r="AA26" s="32">
        <v>304.89</v>
      </c>
      <c r="AB26" s="32">
        <v>178.49</v>
      </c>
      <c r="AC26" s="34">
        <v>0</v>
      </c>
      <c r="AD26" s="32">
        <v>0</v>
      </c>
      <c r="AE26" s="32">
        <v>14.83</v>
      </c>
      <c r="AF26" s="32">
        <v>0</v>
      </c>
      <c r="AG26" s="32">
        <v>0</v>
      </c>
      <c r="AH26" s="32">
        <v>0</v>
      </c>
      <c r="AI26" s="32">
        <v>16.72</v>
      </c>
      <c r="AJ26" s="32">
        <v>0</v>
      </c>
      <c r="AK26" s="32">
        <v>13.72</v>
      </c>
      <c r="AL26" s="32">
        <v>278.86</v>
      </c>
      <c r="AM26" s="32">
        <v>47.24</v>
      </c>
      <c r="AN26" s="32">
        <v>13</v>
      </c>
      <c r="AO26" s="32">
        <v>-800.42</v>
      </c>
      <c r="AP26" s="70">
        <v>-266.02</v>
      </c>
      <c r="AQ26" s="32">
        <v>69.709999999999994</v>
      </c>
      <c r="AR26" s="32">
        <v>0</v>
      </c>
      <c r="AS26" s="32">
        <v>24.63</v>
      </c>
      <c r="AT26" s="32">
        <v>0</v>
      </c>
      <c r="AU26" s="32">
        <v>22.79</v>
      </c>
      <c r="AV26" s="32">
        <v>11.94</v>
      </c>
      <c r="AW26" s="32">
        <v>14.83</v>
      </c>
      <c r="AX26" s="46">
        <v>16.27</v>
      </c>
      <c r="AY26" s="32">
        <v>10.16</v>
      </c>
    </row>
    <row r="27" spans="1:52" ht="15" x14ac:dyDescent="0.2">
      <c r="A27" s="25" t="s">
        <v>49</v>
      </c>
      <c r="B27" s="32">
        <v>13.72</v>
      </c>
      <c r="C27" s="32">
        <v>23.63</v>
      </c>
      <c r="D27" s="30"/>
      <c r="E27" s="32">
        <v>35.51</v>
      </c>
      <c r="F27" s="32">
        <v>13</v>
      </c>
      <c r="G27" s="34">
        <v>15.47</v>
      </c>
      <c r="H27" s="32">
        <v>22.6</v>
      </c>
      <c r="I27" s="32">
        <v>31.63</v>
      </c>
      <c r="J27" s="33"/>
      <c r="K27" s="32">
        <v>14.23</v>
      </c>
      <c r="L27" s="32">
        <v>25.2</v>
      </c>
      <c r="M27" s="32">
        <v>29.06</v>
      </c>
      <c r="N27" s="32">
        <v>13.67</v>
      </c>
      <c r="O27" s="32">
        <v>23.58</v>
      </c>
      <c r="P27" s="32">
        <v>44.7</v>
      </c>
      <c r="Q27" s="32">
        <v>13</v>
      </c>
      <c r="R27" s="32"/>
      <c r="S27" s="32">
        <v>13</v>
      </c>
      <c r="T27" s="30"/>
      <c r="U27" s="32">
        <v>35.43</v>
      </c>
      <c r="V27" s="32">
        <v>21.29</v>
      </c>
      <c r="W27" s="32">
        <v>19.28</v>
      </c>
      <c r="X27" s="32">
        <v>13.55</v>
      </c>
      <c r="Y27" s="32">
        <v>58.28</v>
      </c>
      <c r="Z27" s="32">
        <v>13.67</v>
      </c>
      <c r="AA27" s="32">
        <v>273.89999999999998</v>
      </c>
      <c r="AB27" s="32">
        <v>162.37</v>
      </c>
      <c r="AC27" s="34">
        <v>1053.8499999999999</v>
      </c>
      <c r="AD27" s="32">
        <v>5006.45</v>
      </c>
      <c r="AE27" s="32">
        <v>171.18</v>
      </c>
      <c r="AF27" s="32">
        <v>0</v>
      </c>
      <c r="AG27" s="32">
        <v>8.49</v>
      </c>
      <c r="AH27" s="32">
        <v>0</v>
      </c>
      <c r="AI27" s="32">
        <v>25.4</v>
      </c>
      <c r="AJ27" s="32">
        <v>0</v>
      </c>
      <c r="AK27" s="32">
        <v>13.72</v>
      </c>
      <c r="AL27" s="32">
        <v>3108.22</v>
      </c>
      <c r="AM27" s="32">
        <v>25699.25</v>
      </c>
      <c r="AN27" s="32">
        <v>1607.63</v>
      </c>
      <c r="AO27" s="32">
        <v>1710.65</v>
      </c>
      <c r="AP27" s="70">
        <v>-266.02</v>
      </c>
      <c r="AQ27" s="32">
        <v>212.65</v>
      </c>
      <c r="AR27" s="32">
        <v>0</v>
      </c>
      <c r="AS27" s="32">
        <v>29.56</v>
      </c>
      <c r="AT27" s="32">
        <v>170.8</v>
      </c>
      <c r="AU27" s="32">
        <v>10.16</v>
      </c>
      <c r="AV27" s="32">
        <v>45.27</v>
      </c>
      <c r="AW27" s="32">
        <v>13.65</v>
      </c>
      <c r="AX27" s="46">
        <v>10927.66</v>
      </c>
      <c r="AY27" s="32">
        <v>10.16</v>
      </c>
    </row>
    <row r="28" spans="1:52" ht="15" x14ac:dyDescent="0.2">
      <c r="A28" s="25" t="s">
        <v>50</v>
      </c>
      <c r="B28" s="32">
        <v>13.72</v>
      </c>
      <c r="C28" s="32">
        <v>24.89</v>
      </c>
      <c r="D28" s="30"/>
      <c r="E28" s="32">
        <v>32.5</v>
      </c>
      <c r="F28" s="32">
        <v>13</v>
      </c>
      <c r="G28" s="34">
        <v>16.72</v>
      </c>
      <c r="H28" s="32">
        <v>21.29</v>
      </c>
      <c r="I28" s="32">
        <v>30.35</v>
      </c>
      <c r="J28" s="33"/>
      <c r="K28" s="32">
        <v>13</v>
      </c>
      <c r="L28" s="32">
        <v>26.48</v>
      </c>
      <c r="M28" s="32">
        <v>25.2</v>
      </c>
      <c r="N28" s="32">
        <v>13.67</v>
      </c>
      <c r="O28" s="32">
        <v>26.07</v>
      </c>
      <c r="P28" s="32">
        <v>49.24</v>
      </c>
      <c r="Q28" s="32">
        <v>13</v>
      </c>
      <c r="R28" s="32"/>
      <c r="S28" s="32">
        <v>275.74</v>
      </c>
      <c r="T28" s="30"/>
      <c r="U28" s="32">
        <v>35.450000000000003</v>
      </c>
      <c r="V28" s="32">
        <v>25.2</v>
      </c>
      <c r="W28" s="32">
        <v>20.51</v>
      </c>
      <c r="X28" s="32">
        <v>13.55</v>
      </c>
      <c r="Y28" s="32">
        <v>62</v>
      </c>
      <c r="Z28" s="32">
        <v>14.9</v>
      </c>
      <c r="AA28" s="32">
        <v>293.75</v>
      </c>
      <c r="AB28" s="32">
        <v>193.38</v>
      </c>
      <c r="AC28" s="34">
        <v>11237.44</v>
      </c>
      <c r="AD28" s="32">
        <v>43721.2</v>
      </c>
      <c r="AE28" s="32">
        <v>74.27</v>
      </c>
      <c r="AF28" s="32">
        <v>26002.61</v>
      </c>
      <c r="AG28" s="32">
        <v>29933.34</v>
      </c>
      <c r="AH28" s="32">
        <v>40441.21</v>
      </c>
      <c r="AI28" s="32">
        <v>57865.4</v>
      </c>
      <c r="AJ28" s="32">
        <v>6120.63</v>
      </c>
      <c r="AK28" s="32">
        <v>13.72</v>
      </c>
      <c r="AL28" s="32">
        <v>57851.96</v>
      </c>
      <c r="AM28" s="32">
        <v>74552.75</v>
      </c>
      <c r="AN28" s="32">
        <v>72996.38</v>
      </c>
      <c r="AO28" s="32">
        <v>66165.52</v>
      </c>
      <c r="AP28" s="70">
        <v>-266.02</v>
      </c>
      <c r="AQ28" s="32">
        <v>42784.63</v>
      </c>
      <c r="AR28" s="32">
        <v>31757.39</v>
      </c>
      <c r="AS28" s="32">
        <v>113475.5</v>
      </c>
      <c r="AT28" s="32">
        <v>35569.96</v>
      </c>
      <c r="AU28" s="32">
        <v>13.32</v>
      </c>
      <c r="AV28" s="32">
        <v>75.58</v>
      </c>
      <c r="AW28" s="32">
        <v>14.83</v>
      </c>
      <c r="AX28" s="46">
        <v>36224.639999999999</v>
      </c>
      <c r="AY28" s="32">
        <v>10.16</v>
      </c>
    </row>
    <row r="29" spans="1:52" ht="15" x14ac:dyDescent="0.2">
      <c r="A29" s="25" t="s">
        <v>51</v>
      </c>
      <c r="B29" s="32">
        <v>39.53</v>
      </c>
      <c r="C29" s="32">
        <v>27.35</v>
      </c>
      <c r="D29" s="30"/>
      <c r="E29" s="32">
        <v>41.17</v>
      </c>
      <c r="F29" s="32">
        <v>44.67</v>
      </c>
      <c r="G29" s="34">
        <v>15.47</v>
      </c>
      <c r="H29" s="32">
        <v>80.8</v>
      </c>
      <c r="I29" s="32">
        <v>126.04</v>
      </c>
      <c r="J29" s="33"/>
      <c r="K29" s="32">
        <v>56.34</v>
      </c>
      <c r="L29" s="32">
        <v>29.05</v>
      </c>
      <c r="M29" s="32">
        <v>15</v>
      </c>
      <c r="N29" s="32">
        <v>13.67</v>
      </c>
      <c r="O29" s="32">
        <v>42.99</v>
      </c>
      <c r="P29" s="32">
        <v>85.01</v>
      </c>
      <c r="Q29" s="32">
        <v>127.94</v>
      </c>
      <c r="R29" s="32"/>
      <c r="S29" s="32">
        <v>510.2</v>
      </c>
      <c r="T29" s="30"/>
      <c r="U29" s="32">
        <v>32.24</v>
      </c>
      <c r="V29" s="32">
        <v>72.930000000000007</v>
      </c>
      <c r="W29" s="32">
        <v>51.46</v>
      </c>
      <c r="X29" s="32">
        <v>14.83</v>
      </c>
      <c r="Y29" s="32">
        <v>224.79</v>
      </c>
      <c r="Z29" s="32">
        <v>40.64</v>
      </c>
      <c r="AA29" s="32">
        <v>795.98</v>
      </c>
      <c r="AB29" s="32">
        <v>264.67</v>
      </c>
      <c r="AC29" s="34">
        <v>36834.86</v>
      </c>
      <c r="AD29" s="32">
        <v>25401.61</v>
      </c>
      <c r="AE29" s="32">
        <v>102.81</v>
      </c>
      <c r="AF29" s="32">
        <v>47678.400000000001</v>
      </c>
      <c r="AG29" s="32">
        <v>46476.639999999999</v>
      </c>
      <c r="AH29" s="32">
        <v>157699.74</v>
      </c>
      <c r="AI29" s="32">
        <v>60988.52</v>
      </c>
      <c r="AJ29" s="32">
        <v>11016.87</v>
      </c>
      <c r="AK29" s="32">
        <v>18.61</v>
      </c>
      <c r="AL29" s="32">
        <v>45113.88</v>
      </c>
      <c r="AM29" s="32">
        <v>233999.7</v>
      </c>
      <c r="AN29" s="32">
        <v>93942.91</v>
      </c>
      <c r="AO29" s="32">
        <v>141841.29</v>
      </c>
      <c r="AP29" s="70">
        <v>178961.01</v>
      </c>
      <c r="AQ29" s="32">
        <v>52719.63</v>
      </c>
      <c r="AR29" s="32">
        <v>67250.429999999993</v>
      </c>
      <c r="AS29" s="32">
        <v>119286.53</v>
      </c>
      <c r="AT29" s="32">
        <v>0</v>
      </c>
      <c r="AU29" s="32">
        <v>18.059999999999999</v>
      </c>
      <c r="AV29" s="32">
        <v>43.76</v>
      </c>
      <c r="AW29" s="32">
        <v>31.61</v>
      </c>
      <c r="AX29" s="46">
        <v>9474.98</v>
      </c>
      <c r="AY29" s="32">
        <v>68.41</v>
      </c>
    </row>
    <row r="30" spans="1:52" ht="15" x14ac:dyDescent="0.2">
      <c r="A30" s="25" t="s">
        <v>52</v>
      </c>
      <c r="B30" s="32">
        <v>149.75</v>
      </c>
      <c r="C30" s="32">
        <v>84.91</v>
      </c>
      <c r="D30" s="30"/>
      <c r="E30" s="32">
        <v>109.22</v>
      </c>
      <c r="F30" s="32">
        <v>252.51</v>
      </c>
      <c r="G30" s="32">
        <v>26.94</v>
      </c>
      <c r="H30" s="32">
        <v>386.9</v>
      </c>
      <c r="I30" s="32">
        <v>527.51</v>
      </c>
      <c r="J30" s="33"/>
      <c r="K30" s="32">
        <v>201.13</v>
      </c>
      <c r="L30" s="32">
        <v>28.08</v>
      </c>
      <c r="M30" s="32">
        <v>118</v>
      </c>
      <c r="N30" s="32">
        <v>38.06</v>
      </c>
      <c r="O30" s="32">
        <v>93.8</v>
      </c>
      <c r="P30" s="32">
        <v>158.76</v>
      </c>
      <c r="Q30" s="32">
        <v>350.94</v>
      </c>
      <c r="R30" s="32"/>
      <c r="S30" s="32">
        <v>522.80999999999995</v>
      </c>
      <c r="T30" s="30"/>
      <c r="U30" s="32">
        <v>38.83</v>
      </c>
      <c r="V30" s="32">
        <v>317.61</v>
      </c>
      <c r="W30" s="32">
        <v>136.18</v>
      </c>
      <c r="X30" s="32">
        <v>13.55</v>
      </c>
      <c r="Y30" s="32">
        <v>776.64</v>
      </c>
      <c r="Z30" s="32">
        <v>197.15</v>
      </c>
      <c r="AA30" s="32">
        <v>1712.66</v>
      </c>
      <c r="AB30" s="32">
        <v>914.84</v>
      </c>
      <c r="AC30" s="34">
        <v>1391.47</v>
      </c>
      <c r="AD30" s="32">
        <v>2001.52</v>
      </c>
      <c r="AE30" s="32">
        <v>183.25</v>
      </c>
      <c r="AF30" s="32">
        <v>126.82</v>
      </c>
      <c r="AG30" s="32">
        <v>448.79</v>
      </c>
      <c r="AH30" s="32">
        <v>24242.22</v>
      </c>
      <c r="AI30" s="32">
        <v>13</v>
      </c>
      <c r="AJ30" s="32">
        <v>0</v>
      </c>
      <c r="AK30" s="32">
        <v>42.82</v>
      </c>
      <c r="AL30" s="32">
        <v>8733.4599999999991</v>
      </c>
      <c r="AM30" s="32">
        <v>8070.44</v>
      </c>
      <c r="AN30" s="32">
        <v>4886.6400000000003</v>
      </c>
      <c r="AO30" s="32">
        <v>7904.09</v>
      </c>
      <c r="AP30" s="70">
        <v>10580.79</v>
      </c>
      <c r="AQ30" s="32">
        <v>670.75599999999997</v>
      </c>
      <c r="AR30" s="32">
        <v>30117.65</v>
      </c>
      <c r="AS30" s="32">
        <v>131455.31</v>
      </c>
      <c r="AT30" s="32">
        <v>0</v>
      </c>
      <c r="AU30" s="32">
        <v>17.45</v>
      </c>
      <c r="AV30" s="32">
        <v>73.41</v>
      </c>
      <c r="AW30" s="32">
        <v>128.58000000000001</v>
      </c>
      <c r="AX30" s="46">
        <v>0</v>
      </c>
      <c r="AY30" s="32">
        <v>271.58</v>
      </c>
    </row>
    <row r="31" spans="1:52" ht="13.5" thickBot="1" x14ac:dyDescent="0.25">
      <c r="A31" s="25" t="s">
        <v>54</v>
      </c>
      <c r="B31" s="35">
        <f>SUM(B19:B30)</f>
        <v>1191.3900000000003</v>
      </c>
      <c r="C31" s="35">
        <f>SUM(C19:C30)</f>
        <v>609.51</v>
      </c>
      <c r="D31" s="35"/>
      <c r="E31" s="35">
        <f t="shared" ref="E31:AB31" si="3">SUM(E19:E30)</f>
        <v>919.92000000000007</v>
      </c>
      <c r="F31" s="35">
        <f t="shared" si="3"/>
        <v>1708.5600000000002</v>
      </c>
      <c r="G31" s="36">
        <f t="shared" si="3"/>
        <v>201.66</v>
      </c>
      <c r="H31" s="35">
        <f t="shared" si="3"/>
        <v>2522.42</v>
      </c>
      <c r="I31" s="36">
        <f t="shared" si="3"/>
        <v>3027.3600000000006</v>
      </c>
      <c r="J31" s="37">
        <f t="shared" si="3"/>
        <v>0</v>
      </c>
      <c r="K31" s="36">
        <f t="shared" si="3"/>
        <v>1640.29</v>
      </c>
      <c r="L31" s="36">
        <f t="shared" si="3"/>
        <v>322.08999999999997</v>
      </c>
      <c r="M31" s="36">
        <f t="shared" si="3"/>
        <v>1932.3400000000001</v>
      </c>
      <c r="N31" s="36">
        <f t="shared" si="3"/>
        <v>591.11999999999989</v>
      </c>
      <c r="O31" s="38">
        <f t="shared" si="3"/>
        <v>1344.5299999999995</v>
      </c>
      <c r="P31" s="36">
        <f t="shared" si="3"/>
        <v>1318.8600000000001</v>
      </c>
      <c r="Q31" s="38">
        <f t="shared" si="3"/>
        <v>3255.5499999999997</v>
      </c>
      <c r="R31" s="38">
        <f t="shared" si="3"/>
        <v>0</v>
      </c>
      <c r="S31" s="38">
        <f t="shared" si="3"/>
        <v>4645.42</v>
      </c>
      <c r="T31" s="36">
        <f t="shared" si="3"/>
        <v>0</v>
      </c>
      <c r="U31" s="38">
        <f t="shared" si="3"/>
        <v>438.09000000000003</v>
      </c>
      <c r="V31" s="38">
        <f t="shared" si="3"/>
        <v>2323.81</v>
      </c>
      <c r="W31" s="36">
        <f t="shared" si="3"/>
        <v>1139.6299999999999</v>
      </c>
      <c r="X31" s="38">
        <f t="shared" si="3"/>
        <v>165.16000000000003</v>
      </c>
      <c r="Y31" s="39">
        <f t="shared" si="3"/>
        <v>7242.77</v>
      </c>
      <c r="Z31" s="39">
        <f t="shared" si="3"/>
        <v>1702.8200000000008</v>
      </c>
      <c r="AA31" s="38">
        <f t="shared" si="3"/>
        <v>18580.18</v>
      </c>
      <c r="AB31" s="38">
        <f t="shared" si="3"/>
        <v>8249.48</v>
      </c>
      <c r="AC31" s="36">
        <f t="shared" ref="AC31:AY31" si="4">SUM(AC19:AC30)</f>
        <v>50760.33</v>
      </c>
      <c r="AD31" s="38">
        <f t="shared" si="4"/>
        <v>79128.009999999995</v>
      </c>
      <c r="AE31" s="38">
        <f t="shared" si="4"/>
        <v>1334.2499999999998</v>
      </c>
      <c r="AF31" s="38">
        <f t="shared" si="4"/>
        <v>74502.920000000013</v>
      </c>
      <c r="AG31" s="38">
        <f t="shared" si="4"/>
        <v>77034.279999999984</v>
      </c>
      <c r="AH31" s="38">
        <f t="shared" si="4"/>
        <v>226526.5</v>
      </c>
      <c r="AI31" s="38">
        <f t="shared" si="4"/>
        <v>118988.08</v>
      </c>
      <c r="AJ31" s="38">
        <f t="shared" si="4"/>
        <v>17137.5</v>
      </c>
      <c r="AK31" s="38">
        <f t="shared" si="4"/>
        <v>513.11000000000013</v>
      </c>
      <c r="AL31" s="39">
        <f t="shared" si="4"/>
        <v>118168.60999999999</v>
      </c>
      <c r="AM31" s="36">
        <f t="shared" si="4"/>
        <v>349842.72000000003</v>
      </c>
      <c r="AN31" s="36">
        <f t="shared" si="4"/>
        <v>176731.48000000004</v>
      </c>
      <c r="AO31" s="38">
        <f t="shared" si="4"/>
        <v>216230.19</v>
      </c>
      <c r="AP31" s="38">
        <f t="shared" si="4"/>
        <v>193308.77000000002</v>
      </c>
      <c r="AQ31" s="40">
        <f t="shared" si="4"/>
        <v>99944.835999999981</v>
      </c>
      <c r="AR31" s="38">
        <f t="shared" si="4"/>
        <v>129125.47</v>
      </c>
      <c r="AS31" s="38">
        <f t="shared" si="4"/>
        <v>366649.75</v>
      </c>
      <c r="AT31" s="39">
        <f t="shared" si="4"/>
        <v>36181.26</v>
      </c>
      <c r="AU31" s="39">
        <f t="shared" si="4"/>
        <v>174.92999999999998</v>
      </c>
      <c r="AV31" s="39">
        <f t="shared" si="4"/>
        <v>377.78</v>
      </c>
      <c r="AW31" s="39">
        <f t="shared" si="4"/>
        <v>1201.7299999999998</v>
      </c>
      <c r="AX31" s="39">
        <f t="shared" si="4"/>
        <v>56643.55</v>
      </c>
      <c r="AY31" s="39">
        <f t="shared" si="4"/>
        <v>2681.0399999999991</v>
      </c>
      <c r="AZ31" s="74"/>
    </row>
    <row r="32" spans="1:52" ht="13.5" thickTop="1" x14ac:dyDescent="0.2">
      <c r="B32" s="41">
        <f t="shared" ref="B32:M32" si="5">B31/B16</f>
        <v>12.514600840336138</v>
      </c>
      <c r="C32" s="41">
        <f t="shared" si="5"/>
        <v>9.9919672131147532</v>
      </c>
      <c r="D32" s="41"/>
      <c r="E32" s="41">
        <f t="shared" si="5"/>
        <v>14.958048780487806</v>
      </c>
      <c r="F32" s="41">
        <f t="shared" si="5"/>
        <v>63.280000000000008</v>
      </c>
      <c r="G32" s="41">
        <f>G31/G16</f>
        <v>100.83</v>
      </c>
      <c r="H32" s="41">
        <f t="shared" si="5"/>
        <v>12.080555555555556</v>
      </c>
      <c r="I32" s="41">
        <f t="shared" si="5"/>
        <v>12.001807787759375</v>
      </c>
      <c r="K32" s="41">
        <f t="shared" si="5"/>
        <v>11.972919708029197</v>
      </c>
      <c r="L32" s="41">
        <f t="shared" si="5"/>
        <v>24.400757575757574</v>
      </c>
      <c r="M32" s="41">
        <f t="shared" si="5"/>
        <v>11.796947496947498</v>
      </c>
      <c r="N32" s="42">
        <f>N31/N16</f>
        <v>14.667990074441686</v>
      </c>
      <c r="O32" s="42">
        <f>O31/O16</f>
        <v>12.25642661804922</v>
      </c>
      <c r="P32" s="42">
        <f t="shared" ref="P32:V32" si="6">P31/P16</f>
        <v>13.416683621566634</v>
      </c>
      <c r="Q32" s="42">
        <f t="shared" si="6"/>
        <v>11.343379790940766</v>
      </c>
      <c r="R32" s="42" t="e">
        <f>R31/R16</f>
        <v>#DIV/0!</v>
      </c>
      <c r="S32" s="42">
        <f t="shared" si="6"/>
        <v>11.310981251521792</v>
      </c>
      <c r="U32" s="42">
        <f t="shared" si="6"/>
        <v>20.567605633802817</v>
      </c>
      <c r="V32" s="42">
        <f t="shared" si="6"/>
        <v>12.122117892540428</v>
      </c>
      <c r="W32" s="42">
        <f>W31/W15</f>
        <v>10.751226415094338</v>
      </c>
      <c r="X32" s="42">
        <f t="shared" ref="X32:AI32" si="7">X31/X16</f>
        <v>825.80000000000007</v>
      </c>
      <c r="Y32" s="42">
        <f t="shared" si="7"/>
        <v>10.983879284197757</v>
      </c>
      <c r="Z32" s="42">
        <f t="shared" si="7"/>
        <v>11.825138888888894</v>
      </c>
      <c r="AA32" s="42">
        <f t="shared" si="7"/>
        <v>10.804943010002328</v>
      </c>
      <c r="AB32" s="42">
        <f t="shared" si="7"/>
        <v>11.213103167051786</v>
      </c>
      <c r="AC32" s="42">
        <f t="shared" si="7"/>
        <v>7.4734367868553173</v>
      </c>
      <c r="AD32" s="42">
        <f t="shared" si="7"/>
        <v>10.701217153753566</v>
      </c>
      <c r="AE32" s="42" t="e">
        <f t="shared" si="7"/>
        <v>#DIV/0!</v>
      </c>
      <c r="AF32" s="42">
        <f t="shared" si="7"/>
        <v>10.792206738708465</v>
      </c>
      <c r="AG32" s="42">
        <f t="shared" si="7"/>
        <v>11.226213931798307</v>
      </c>
      <c r="AH32" s="42">
        <f t="shared" si="7"/>
        <v>10.735700440278102</v>
      </c>
      <c r="AI32" s="42">
        <f t="shared" si="7"/>
        <v>11.278170288996522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</row>
  </sheetData>
  <phoneticPr fontId="17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2013</vt:lpstr>
      <vt:lpstr>2012</vt:lpstr>
      <vt:lpstr>2011</vt:lpstr>
      <vt:lpstr>2010</vt:lpstr>
      <vt:lpstr>2009</vt:lpstr>
      <vt:lpstr>2008</vt:lpstr>
    </vt:vector>
  </TitlesOfParts>
  <Company>Riceland Foods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Riceland Foods Inc</dc:creator>
  <cp:lastModifiedBy>Ryan Lee</cp:lastModifiedBy>
  <cp:lastPrinted>2011-11-01T18:55:25Z</cp:lastPrinted>
  <dcterms:created xsi:type="dcterms:W3CDTF">2011-08-29T15:44:31Z</dcterms:created>
  <dcterms:modified xsi:type="dcterms:W3CDTF">2025-08-21T18:57:59Z</dcterms:modified>
</cp:coreProperties>
</file>